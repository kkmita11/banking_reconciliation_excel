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timelines/timeline1.xml" ContentType="application/vnd.ms-excel.timelin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en_skoroszyt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kmita\Pulpit\NAUKA\EXCEL\Banking_Reconciliation\"/>
    </mc:Choice>
  </mc:AlternateContent>
  <xr:revisionPtr revIDLastSave="0" documentId="13_ncr:1_{F592F36F-0CE3-4852-A975-DD91A92DE904}" xr6:coauthVersionLast="47" xr6:coauthVersionMax="47" xr10:uidLastSave="{00000000-0000-0000-0000-000000000000}"/>
  <workbookProtection workbookAlgorithmName="SHA-512" workbookHashValue="+zA6jDs0nddbNrs40Ok0LKpxzrXlPxjXlgFuFJ/learNXuow8pK5m8gUo3mcqmeWYzAPVgxCOtLRsrVKglWFmA==" workbookSaltValue="Uj4obQEPmKGtgSXOjZvVQg==" workbookSpinCount="100000" lockStructure="1"/>
  <bookViews>
    <workbookView xWindow="-108" yWindow="-108" windowWidth="23256" windowHeight="12456" activeTab="1" xr2:uid="{D64BDA5A-7BC2-48DF-9DC3-8545F7E26167}"/>
  </bookViews>
  <sheets>
    <sheet name="Dashboard" sheetId="20" r:id="rId1"/>
    <sheet name="Manual_matching" sheetId="21" r:id="rId2"/>
    <sheet name="Matched" sheetId="18" r:id="rId3"/>
    <sheet name="Ewidencja_Unmatched" sheetId="15" r:id="rId4"/>
    <sheet name="Wyciąg_Unmatched" sheetId="16" r:id="rId5"/>
    <sheet name="calc" sheetId="19" state="hidden" r:id="rId6"/>
    <sheet name="Wyciag_Bankowy_Full " sheetId="3" r:id="rId7"/>
    <sheet name="Ewidencja_Ksiegowa_Full" sheetId="2" r:id="rId8"/>
    <sheet name="Archiwum_Manual_Matching" sheetId="27" state="hidden" r:id="rId9"/>
  </sheets>
  <definedNames>
    <definedName name="_xleta.XMATCH" hidden="1" xlm="1">#NAME?</definedName>
    <definedName name="ExternalData_1" localSheetId="7" hidden="1">Ewidencja_Ksiegowa_Full!$A$1:$E$33</definedName>
    <definedName name="ExternalData_10" localSheetId="2" hidden="1">Matched!$A$1:$I$25</definedName>
    <definedName name="ExternalData_2" localSheetId="8" hidden="1">Archiwum_Manual_Matching!$A$1:$I$2</definedName>
    <definedName name="ExternalData_2" localSheetId="6" hidden="1">'Wyciag_Bankowy_Full '!$A$1:$D$33</definedName>
    <definedName name="ExternalData_8" localSheetId="3" hidden="1">Ewidencja_Unmatched!$A$1:$F$9</definedName>
    <definedName name="ExternalData_9" localSheetId="4" hidden="1">Wyciąg_Unmatched!$A$1:$E$9</definedName>
    <definedName name="Fragmentator_Zakres_kwotowy">#N/A</definedName>
    <definedName name="Fragmentator_Zakres_kwotowy1">#N/A</definedName>
    <definedName name="NatywnaOśCzasu_Data_Ksiegowania">#N/A</definedName>
    <definedName name="NatywnaOśCzasu_Data_Operacji">#N/A</definedName>
  </definedNames>
  <calcPr calcId="191029"/>
  <pivotCaches>
    <pivotCache cacheId="0" r:id="rId10"/>
    <pivotCache cacheId="1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20" l="1"/>
  <c r="C6" i="21" a="1"/>
  <c r="C6" i="21" s="1"/>
  <c r="H6" i="21" a="1"/>
  <c r="H6" i="21" s="1"/>
  <c r="I9" i="20"/>
  <c r="B8" i="19" a="1"/>
  <c r="B8" i="19" s="1"/>
  <c r="E3" i="19"/>
  <c r="I6" i="20" s="1"/>
  <c r="E2" i="19"/>
  <c r="I5" i="20" s="1"/>
  <c r="I4" i="20"/>
  <c r="C1" i="19"/>
  <c r="A2" i="19"/>
  <c r="A1" i="19"/>
  <c r="I8" i="20" l="1"/>
  <c r="I10" i="2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7FA3B40-E548-4EDF-99A8-45F6C59BA48E}" keepAlive="1" name="Zapytanie — Ewidencja_Ksiegowa_Full csv" description="Połączenie z zapytaniem „Ewidencja_Ksiegowa_Full csv” w skoroszycie." type="5" refreshedVersion="8" saveData="1">
    <dbPr connection="Provider=Microsoft.Mashup.OleDb.1;Data Source=$Workbook$;Location=&quot;Ewidencja_Ksiegowa_Full csv&quot;;Extended Properties=&quot;&quot;" command="SELECT * FROM [Ewidencja_Ksiegowa_Full csv]"/>
  </connection>
  <connection id="2" xr16:uid="{CCC0A7B9-C906-404B-853D-9B322CEB11B5}" keepAlive="1" name="Zapytanie — Ewidencja_Unmatched" description="Połączenie z zapytaniem „Ewidencja_Unmatched” w skoroszycie." type="5" refreshedVersion="8" saveData="1">
    <dbPr connection="Provider=Microsoft.Mashup.OleDb.1;Data Source=$Workbook$;Location=Ewidencja_Unmatched;Extended Properties=&quot;&quot;" command="SELECT * FROM [Ewidencja_Unmatched]"/>
  </connection>
  <connection id="3" xr16:uid="{CFD18AB6-70A3-4E02-AF90-A830677D93D7}" keepAlive="1" name="Zapytanie — Matched" description="Połączenie z zapytaniem „Matched” w skoroszycie." type="5" refreshedVersion="8" saveData="1">
    <dbPr connection="Provider=Microsoft.Mashup.OleDb.1;Data Source=$Workbook$;Location=Matched;Extended Properties=&quot;&quot;" command="SELECT * FROM [Matched]"/>
  </connection>
  <connection id="4" xr16:uid="{6D52DCBE-317C-4E5D-B211-63727218759B}" keepAlive="1" name="Zapytanie — Scalanie1" description="Połączenie z zapytaniem „Scalanie1” w skoroszycie." type="5" refreshedVersion="8" saveData="1">
    <dbPr connection="Provider=Microsoft.Mashup.OleDb.1;Data Source=$Workbook$;Location=Scalanie1;Extended Properties=&quot;&quot;" command="SELECT * FROM [Scalanie1]"/>
  </connection>
  <connection id="5" xr16:uid="{F9AFF1B7-9D9A-4241-87BE-413FE2AF05C9}" keepAlive="1" name="Zapytanie — Scalanie2" description="Połączenie z zapytaniem „Scalanie2” w skoroszycie." type="5" refreshedVersion="8" saveData="1">
    <dbPr connection="Provider=Microsoft.Mashup.OleDb.1;Data Source=$Workbook$;Location=Scalanie2;Extended Properties=&quot;&quot;" command="SELECT * FROM [Scalanie2]"/>
  </connection>
  <connection id="6" xr16:uid="{0625CC45-6CFC-4511-B443-74AB01ED09CF}" keepAlive="1" name="Zapytanie — Scalanie3" description="Połączenie z zapytaniem „Scalanie3” w skoroszycie." type="5" refreshedVersion="8" saveData="1">
    <dbPr connection="Provider=Microsoft.Mashup.OleDb.1;Data Source=$Workbook$;Location=Scalanie3;Extended Properties=&quot;&quot;" command="SELECT * FROM [Scalanie3]"/>
  </connection>
  <connection id="7" xr16:uid="{9392FF6B-432B-4EE8-AE3C-B6F5B30D847C}" keepAlive="1" name="Zapytanie — Tbl_Reczne_Archiwum" description="Połączenie z zapytaniem „Tbl_Reczne_Archiwum” w skoroszycie." type="5" refreshedVersion="8" saveData="1">
    <dbPr connection="Provider=Microsoft.Mashup.OleDb.1;Data Source=$Workbook$;Location=Tbl_Reczne_Archiwum;Extended Properties=&quot;&quot;" command="SELECT * FROM [Tbl_Reczne_Archiwum]"/>
  </connection>
  <connection id="8" xr16:uid="{62F4975F-F6BD-4929-AE10-77A554BCD615}" keepAlive="1" name="Zapytanie — Tbl_Reczne_Archiwum(1)" description="Połączenie z zapytaniem „Tbl_Reczne_Archiwum” w skoroszycie." type="5" refreshedVersion="8" saveData="1">
    <dbPr connection="Provider=Microsoft.Mashup.OleDb.1;Data Source=$Workbook$;Location=Tbl_Reczne_Archiwum;Extended Properties=&quot;&quot;" command="SELECT * FROM [Tbl_Reczne_Archiwum]"/>
  </connection>
  <connection id="9" xr16:uid="{02D0072B-AC3E-4009-B77E-7420622B2191}" keepAlive="1" name="Zapytanie — uniq_unmatched_ewidencja_2 (2)" description="Połączenie z zapytaniem „uniq_unmatched_ewidencja_2 (2)” w skoroszycie." type="5" refreshedVersion="8" saveData="1">
    <dbPr connection="Provider=Microsoft.Mashup.OleDb.1;Data Source=$Workbook$;Location=&quot;uniq_unmatched_ewidencja_2 (2)&quot;;Extended Properties=&quot;&quot;" command="SELECT * FROM [uniq_unmatched_ewidencja_2 (2)]"/>
  </connection>
  <connection id="10" xr16:uid="{4435E3FF-6ED4-4285-BCD5-52F4EBB1D723}" keepAlive="1" name="Zapytanie — uniq_unmatched_wyciag_2 (2)" description="Połączenie z zapytaniem „uniq_unmatched_wyciag_2 (2)” w skoroszycie." type="5" refreshedVersion="8" saveData="1">
    <dbPr connection="Provider=Microsoft.Mashup.OleDb.1;Data Source=$Workbook$;Location=&quot;uniq_unmatched_wyciag_2 (2)&quot;;Extended Properties=&quot;&quot;" command="SELECT * FROM [uniq_unmatched_wyciag_2 (2)]"/>
  </connection>
  <connection id="11" xr16:uid="{A06C2F79-BAD7-4528-83D3-6852BA0BB292}" keepAlive="1" name="Zapytanie — unmatched_ewidencja_1" description="Połączenie z zapytaniem „unmatched_ewidencja_1” w skoroszycie." type="5" refreshedVersion="8" saveData="1">
    <dbPr connection="Provider=Microsoft.Mashup.OleDb.1;Data Source=$Workbook$;Location=unmatched_ewidencja_1;Extended Properties=&quot;&quot;" command="SELECT * FROM [unmatched_ewidencja_1]"/>
  </connection>
  <connection id="12" xr16:uid="{F9F7E000-1877-4EA4-92E2-77DAFE7EBD73}" keepAlive="1" name="Zapytanie — unmatched_ewidencja_2" description="Połączenie z zapytaniem „unmatched_ewidencja_2” w skoroszycie." type="5" refreshedVersion="8" saveData="1">
    <dbPr connection="Provider=Microsoft.Mashup.OleDb.1;Data Source=$Workbook$;Location=unmatched_ewidencja_2;Extended Properties=&quot;&quot;" command="SELECT * FROM [unmatched_ewidencja_2]"/>
  </connection>
  <connection id="13" xr16:uid="{DF3F8E54-9139-404C-AE37-5BF8E540841A}" keepAlive="1" name="Zapytanie — unmatched_wyciag_1" description="Połączenie z zapytaniem „unmatched_wyciag_1” w skoroszycie." type="5" refreshedVersion="8" saveData="1">
    <dbPr connection="Provider=Microsoft.Mashup.OleDb.1;Data Source=$Workbook$;Location=unmatched_wyciag_1;Extended Properties=&quot;&quot;" command="SELECT * FROM [unmatched_wyciag_1]"/>
  </connection>
  <connection id="14" xr16:uid="{B166BA1B-0E95-42A4-AB0A-5AB5DE237E4A}" keepAlive="1" name="Zapytanie — unmatched_wyciag_2" description="Połączenie z zapytaniem „unmatched_wyciag_2” w skoroszycie." type="5" refreshedVersion="8" saveData="1">
    <dbPr connection="Provider=Microsoft.Mashup.OleDb.1;Data Source=$Workbook$;Location=unmatched_wyciag_2;Extended Properties=&quot;&quot;" command="SELECT * FROM [unmatched_wyciag_2]"/>
  </connection>
  <connection id="15" xr16:uid="{E3660997-5B93-45EA-A583-B90CD4714E4A}" keepAlive="1" name="Zapytanie — Wyciag_Bankowy_Full csv" description="Połączenie z zapytaniem „Wyciag_Bankowy_Full csv” w skoroszycie." type="5" refreshedVersion="8" saveData="1">
    <dbPr connection="Provider=Microsoft.Mashup.OleDb.1;Data Source=$Workbook$;Location=&quot;Wyciag_Bankowy_Full csv&quot;;Extended Properties=&quot;&quot;" command="SELECT * FROM [Wyciag_Bankowy_Full csv]"/>
  </connection>
  <connection id="16" xr16:uid="{36F40817-1F04-4A29-8C59-1F35DAA55E68}" keepAlive="1" name="Zapytanie — Wyciąg_Unmatched" description="Połączenie z zapytaniem „Wyciąg_Unmatched” w skoroszycie." type="5" refreshedVersion="8" saveData="1">
    <dbPr connection="Provider=Microsoft.Mashup.OleDb.1;Data Source=$Workbook$;Location=Wyciąg_Unmatched;Extended Properties=&quot;&quot;" command="SELECT * FROM [Wyciąg_Unmatched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<sst xmlns="http://schemas.openxmlformats.org/spreadsheetml/2006/main" count="432" uniqueCount="184">
  <si>
    <t>ID_Wewnetrzne</t>
  </si>
  <si>
    <t>Data_Ksiegowania</t>
  </si>
  <si>
    <t>Kontrahent</t>
  </si>
  <si>
    <t>Nr_Faktury</t>
  </si>
  <si>
    <t>Kwota</t>
  </si>
  <si>
    <t>ERP/2026/001</t>
  </si>
  <si>
    <t>TechSolutions Sp. z o.o.</t>
  </si>
  <si>
    <t>ERP/2026/002</t>
  </si>
  <si>
    <t>Global Logistics</t>
  </si>
  <si>
    <t>ERP/2026/003</t>
  </si>
  <si>
    <t>Marketing Pro</t>
  </si>
  <si>
    <t>ERP/2026/004</t>
  </si>
  <si>
    <t>Dostawy Biurowe</t>
  </si>
  <si>
    <t>ERP/2026/005</t>
  </si>
  <si>
    <t>Klient Alfa</t>
  </si>
  <si>
    <t>ERP/2026/006</t>
  </si>
  <si>
    <t>Klient Beta</t>
  </si>
  <si>
    <t>ERP/2026/007</t>
  </si>
  <si>
    <t>Wynajem Biura</t>
  </si>
  <si>
    <t>ERP/2026/008</t>
  </si>
  <si>
    <t>Media i Prad</t>
  </si>
  <si>
    <t>ERP/2026/009</t>
  </si>
  <si>
    <t>Amazon Web Services</t>
  </si>
  <si>
    <t>ERP/2026/010</t>
  </si>
  <si>
    <t>Klient Gamma</t>
  </si>
  <si>
    <t>ERP/2026/011</t>
  </si>
  <si>
    <t>Paliwa Orlen</t>
  </si>
  <si>
    <t>ERP/2026/012</t>
  </si>
  <si>
    <t>Adobe Systems</t>
  </si>
  <si>
    <t>ERP/2026/013</t>
  </si>
  <si>
    <t>Klient Delta</t>
  </si>
  <si>
    <t>ERP/2026/014</t>
  </si>
  <si>
    <t>ZUS</t>
  </si>
  <si>
    <t>ERP/2026/015</t>
  </si>
  <si>
    <t>Urzad Skarbowy</t>
  </si>
  <si>
    <t>ERP/2026/016</t>
  </si>
  <si>
    <t>Klient Epsilon</t>
  </si>
  <si>
    <t>ERP/2026/017</t>
  </si>
  <si>
    <t>Microsoft</t>
  </si>
  <si>
    <t>ERP/2026/018</t>
  </si>
  <si>
    <t>Kurier DHL</t>
  </si>
  <si>
    <t>ERP/2026/019</t>
  </si>
  <si>
    <t>Klient Zeta</t>
  </si>
  <si>
    <t>ERP/2026/020</t>
  </si>
  <si>
    <t>Catering</t>
  </si>
  <si>
    <t>ERP/2026/021</t>
  </si>
  <si>
    <t>Klient Eta</t>
  </si>
  <si>
    <t>ERP/2026/022</t>
  </si>
  <si>
    <t>Wynajem Auta</t>
  </si>
  <si>
    <t>ERP/2026/023</t>
  </si>
  <si>
    <t>Klient Theta</t>
  </si>
  <si>
    <t>ERP/2026/024</t>
  </si>
  <si>
    <t>Internet</t>
  </si>
  <si>
    <t>ERP/2026/025</t>
  </si>
  <si>
    <t>Klient Iota</t>
  </si>
  <si>
    <t>ERP/2026/026</t>
  </si>
  <si>
    <t>Sprzatanie</t>
  </si>
  <si>
    <t>ERP/2026/027</t>
  </si>
  <si>
    <t>Wynagrodzenie</t>
  </si>
  <si>
    <t>P_NOWAK</t>
  </si>
  <si>
    <t>ERP/2026/028</t>
  </si>
  <si>
    <t>A_KOWALSKI</t>
  </si>
  <si>
    <t>ERP/2026/029</t>
  </si>
  <si>
    <t>Klient Kappa</t>
  </si>
  <si>
    <t>ERP/2026/030</t>
  </si>
  <si>
    <t>Bonus</t>
  </si>
  <si>
    <t>ERP/2026/031</t>
  </si>
  <si>
    <t>Leasing</t>
  </si>
  <si>
    <t>ERP/2026/032</t>
  </si>
  <si>
    <t>Serwis IT</t>
  </si>
  <si>
    <t>Data_Operacji</t>
  </si>
  <si>
    <t>Opis_Transakcji</t>
  </si>
  <si>
    <t>Kwota_Operacji</t>
  </si>
  <si>
    <t>GLOBAL LOGISTICS FV99ABC</t>
  </si>
  <si>
    <t>MP FEB 10</t>
  </si>
  <si>
    <t>AMAZON AWS78921</t>
  </si>
  <si>
    <t>KLIENT GAMMA SPRZEDAZ</t>
  </si>
  <si>
    <t>ORLEN VAT FLOTA 01</t>
  </si>
  <si>
    <t>ADOBE SUB</t>
  </si>
  <si>
    <t>SALE 404 DELTA</t>
  </si>
  <si>
    <t>ZUS SKLADKA</t>
  </si>
  <si>
    <t>US VAT 7</t>
  </si>
  <si>
    <t>MICROSOFT OFFICE</t>
  </si>
  <si>
    <t>DHL KURIER</t>
  </si>
  <si>
    <t>SALE 406 ZETA</t>
  </si>
  <si>
    <t>CATERING LUNCH 66</t>
  </si>
  <si>
    <t>KLIENT ETA 407</t>
  </si>
  <si>
    <t>RENT CAR 11</t>
  </si>
  <si>
    <t>THETA SALE</t>
  </si>
  <si>
    <t>PROV NET 01</t>
  </si>
  <si>
    <t>CLEAN 99</t>
  </si>
  <si>
    <t>WYPLATA P NOWAK</t>
  </si>
  <si>
    <t>OPLATA ZA PROWADZENIE RACHUNKU</t>
  </si>
  <si>
    <t>ODSETKI OD LOKAT</t>
  </si>
  <si>
    <t>SKLEP SPOZYWCZY</t>
  </si>
  <si>
    <t>TERMINAL KARTA 001</t>
  </si>
  <si>
    <t>ZWROT PODATKU</t>
  </si>
  <si>
    <t>PREMIA</t>
  </si>
  <si>
    <t>INV 2026 001</t>
  </si>
  <si>
    <t>FV 99 ABC</t>
  </si>
  <si>
    <t>ORD 555</t>
  </si>
  <si>
    <t>SALE 401</t>
  </si>
  <si>
    <t>SALE 402</t>
  </si>
  <si>
    <t>RENT FEB 26</t>
  </si>
  <si>
    <t>UTIL 999</t>
  </si>
  <si>
    <t>AWS 78921</t>
  </si>
  <si>
    <t>SALE 403</t>
  </si>
  <si>
    <t>VAT FLOTA 01</t>
  </si>
  <si>
    <t>SUB ADOBE 99</t>
  </si>
  <si>
    <t>SALE 404</t>
  </si>
  <si>
    <t>Skladka 01 2026</t>
  </si>
  <si>
    <t>VAT 7 01 2026</t>
  </si>
  <si>
    <t>SALE 405</t>
  </si>
  <si>
    <t>OFFICE 365</t>
  </si>
  <si>
    <t>DHL 12345</t>
  </si>
  <si>
    <t>SALE 406</t>
  </si>
  <si>
    <t>LUNCH 66</t>
  </si>
  <si>
    <t>SALE 407</t>
  </si>
  <si>
    <t>SALE 408</t>
  </si>
  <si>
    <t>SALE 409</t>
  </si>
  <si>
    <t>SALE 410</t>
  </si>
  <si>
    <t>BON 01</t>
  </si>
  <si>
    <t>LEAS CAR 1</t>
  </si>
  <si>
    <t>IT FIX 05</t>
  </si>
  <si>
    <t>WYCHODZACY INV 2026 001</t>
  </si>
  <si>
    <t/>
  </si>
  <si>
    <t>KLIENT ALPHA SALE 401</t>
  </si>
  <si>
    <t>OD KLIENTA</t>
  </si>
  <si>
    <t>KLIENT EPSILON</t>
  </si>
  <si>
    <t>PROWIZJA ZA Y</t>
  </si>
  <si>
    <t>Lp.</t>
  </si>
  <si>
    <t>Opis pozycji</t>
  </si>
  <si>
    <t>Saldo końcowe wg Wyciągu Bankowego</t>
  </si>
  <si>
    <t>Saldo końcowe wg Ewidencji (Wyliczone)</t>
  </si>
  <si>
    <t>Saldo końcowe wg Ewidencji (Systemowe)</t>
  </si>
  <si>
    <t>RÓŻNICA KONTROLNA</t>
  </si>
  <si>
    <t>Zakres kwotowy</t>
  </si>
  <si>
    <t>Od 1000zł do 4999,99zł</t>
  </si>
  <si>
    <t>Do 99,99zł</t>
  </si>
  <si>
    <t>Od 100zł do 999,99zł</t>
  </si>
  <si>
    <t>Suma z Kwota</t>
  </si>
  <si>
    <t>Zobacz wszystkie niewyjaśnione pozycje</t>
  </si>
  <si>
    <t>Saldo niezgodności</t>
  </si>
  <si>
    <t>Ewidencja</t>
  </si>
  <si>
    <t>Wyciąg</t>
  </si>
  <si>
    <t>ID_1</t>
  </si>
  <si>
    <t>ID_2</t>
  </si>
  <si>
    <t>ID_3</t>
  </si>
  <si>
    <t>ID_4</t>
  </si>
  <si>
    <t>ID_5</t>
  </si>
  <si>
    <t>ID_6</t>
  </si>
  <si>
    <t>ID_7</t>
  </si>
  <si>
    <t>ID_8</t>
  </si>
  <si>
    <t>ID_9</t>
  </si>
  <si>
    <t>ID_10</t>
  </si>
  <si>
    <t>ID_11</t>
  </si>
  <si>
    <t>ID_12</t>
  </si>
  <si>
    <t>ID_13</t>
  </si>
  <si>
    <t>ID_14</t>
  </si>
  <si>
    <t>ID_15</t>
  </si>
  <si>
    <t>ID_16</t>
  </si>
  <si>
    <t>ID_17</t>
  </si>
  <si>
    <t>ID_18</t>
  </si>
  <si>
    <t>ID_19</t>
  </si>
  <si>
    <t>ID_20</t>
  </si>
  <si>
    <t>ID_21</t>
  </si>
  <si>
    <t>ID_22</t>
  </si>
  <si>
    <t>ID_23</t>
  </si>
  <si>
    <t>ID_24</t>
  </si>
  <si>
    <t>ID_25</t>
  </si>
  <si>
    <t>ID_26</t>
  </si>
  <si>
    <t>ID_27</t>
  </si>
  <si>
    <t>ID_28</t>
  </si>
  <si>
    <t>ID_29</t>
  </si>
  <si>
    <t>ID_30</t>
  </si>
  <si>
    <t>ID_31</t>
  </si>
  <si>
    <t>ID_32</t>
  </si>
  <si>
    <t>ID_Transakcji</t>
  </si>
  <si>
    <t>Pozycje z wyciągu bankowego do wyjaśnienia o najwyższej kwocie</t>
  </si>
  <si>
    <t>Pozycje z ewidencji księgowej do wyjaśnienia o najwyższej kwocie</t>
  </si>
  <si>
    <t>Pozycje w Ewidencji, których brakuje w Banku</t>
  </si>
  <si>
    <t>Pozycje w Banku, których brakuje w Ewidencji</t>
  </si>
  <si>
    <t>Zaakceptowane różnice (Odpisy)</t>
  </si>
  <si>
    <t>Zobacz wszystkie uzgodnione pozycje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</si>
</sst>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zł&quot;_-;\-* #,##0.00\ &quot;zł&quot;_-;_-* &quot;-&quot;??\ &quot;zł&quot;_-;_-@_-"/>
    <numFmt numFmtId="164" formatCode="_-* #,##0.00\ [$zł-415]_-;\-* #,##0.00\ [$zł-415]_-;_-* &quot;-&quot;??\ [$zł-415]_-;_-@_-"/>
  </numFmts>
  <fonts count="6" x14ac:knownFonts="1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b/>
      <sz val="11"/>
      <color theme="0"/>
      <name val="Aptos Narrow"/>
      <family val="2"/>
      <charset val="238"/>
      <scheme val="minor"/>
    </font>
    <font>
      <u/>
      <sz val="11"/>
      <color theme="10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theme="9" tint="0.79998168889431442"/>
      </patternFill>
    </fill>
  </fills>
  <borders count="4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0" borderId="0" xfId="0" pivotButton="1"/>
    <xf numFmtId="0" fontId="3" fillId="0" borderId="0" xfId="2" quotePrefix="1"/>
    <xf numFmtId="0" fontId="4" fillId="0" borderId="0" xfId="0" applyFont="1"/>
    <xf numFmtId="0" fontId="0" fillId="3" borderId="0" xfId="0" applyFill="1" applyProtection="1">
      <protection locked="0"/>
    </xf>
    <xf numFmtId="0" fontId="3" fillId="0" borderId="0" xfId="2"/>
    <xf numFmtId="0" fontId="3" fillId="0" borderId="0" xfId="2" applyAlignment="1" applyProtection="1">
      <alignment horizontal="center" vertical="center"/>
    </xf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0" fillId="4" borderId="1" xfId="0" applyFill="1" applyBorder="1" applyProtection="1">
      <protection locked="0"/>
    </xf>
  </cellXfs>
  <cellStyles count="3">
    <cellStyle name="Hiperłącze" xfId="2" builtinId="8"/>
    <cellStyle name="Normalny" xfId="0" builtinId="0"/>
    <cellStyle name="Walutowy" xfId="1" builtinId="4"/>
  </cellStyles>
  <dxfs count="20"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7575"/>
      <color rgb="FF6B07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2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34699</xdr:colOff>
      <xdr:row>1</xdr:row>
      <xdr:rowOff>28261</xdr:rowOff>
    </xdr:from>
    <xdr:to>
      <xdr:col>2</xdr:col>
      <xdr:colOff>984572</xdr:colOff>
      <xdr:row>4</xdr:row>
      <xdr:rowOff>22120</xdr:rowOff>
    </xdr:to>
    <xdr:sp macro="" textlink="">
      <xdr:nvSpPr>
        <xdr:cNvPr id="4" name="Prostokąt: zaokrąglone rogi 3">
          <a:extLst>
            <a:ext uri="{FF2B5EF4-FFF2-40B4-BE49-F238E27FC236}">
              <a16:creationId xmlns:a16="http://schemas.microsoft.com/office/drawing/2014/main" id="{DB55D3AF-2946-D9EF-ACF4-E13DA93243D7}"/>
            </a:ext>
          </a:extLst>
        </xdr:cNvPr>
        <xdr:cNvSpPr/>
      </xdr:nvSpPr>
      <xdr:spPr>
        <a:xfrm>
          <a:off x="644299" y="207555"/>
          <a:ext cx="2366297" cy="531741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200">
              <a:latin typeface="Abadi" panose="020B0604020104020204" pitchFamily="34" charset="-18"/>
            </a:rPr>
            <a:t>Skuteczność</a:t>
          </a:r>
          <a:endParaRPr lang="en-US" sz="1200">
            <a:latin typeface="Abadi" panose="020B0604020104020204" pitchFamily="34" charset="-18"/>
          </a:endParaRPr>
        </a:p>
      </xdr:txBody>
    </xdr:sp>
    <xdr:clientData/>
  </xdr:twoCellAnchor>
  <xdr:twoCellAnchor editAs="absolute">
    <xdr:from>
      <xdr:col>1</xdr:col>
      <xdr:colOff>34699</xdr:colOff>
      <xdr:row>3</xdr:row>
      <xdr:rowOff>98612</xdr:rowOff>
    </xdr:from>
    <xdr:to>
      <xdr:col>2</xdr:col>
      <xdr:colOff>984572</xdr:colOff>
      <xdr:row>5</xdr:row>
      <xdr:rowOff>80991</xdr:rowOff>
    </xdr:to>
    <xdr:sp macro="" textlink="calc!C1">
      <xdr:nvSpPr>
        <xdr:cNvPr id="5" name="Prostokąt: zaokrąglone rogi 4">
          <a:extLst>
            <a:ext uri="{FF2B5EF4-FFF2-40B4-BE49-F238E27FC236}">
              <a16:creationId xmlns:a16="http://schemas.microsoft.com/office/drawing/2014/main" id="{65F4077C-01EB-85B0-9A4C-01013F5862BB}"/>
            </a:ext>
          </a:extLst>
        </xdr:cNvPr>
        <xdr:cNvSpPr/>
      </xdr:nvSpPr>
      <xdr:spPr>
        <a:xfrm>
          <a:off x="644299" y="636494"/>
          <a:ext cx="2366297" cy="340968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5864765-D1DB-4C61-8569-213A7422D810}" type="TxLink">
            <a:rPr lang="en-US" sz="1400" b="0" i="0" u="none" strike="noStrike">
              <a:solidFill>
                <a:schemeClr val="bg1"/>
              </a:solidFill>
              <a:latin typeface="Abadi" panose="020B0604020104020204" pitchFamily="34" charset="-18"/>
            </a:rPr>
            <a:pPr algn="ctr"/>
            <a:t>75%</a:t>
          </a:fld>
          <a:endParaRPr lang="en-US" sz="1400">
            <a:solidFill>
              <a:schemeClr val="bg1"/>
            </a:solidFill>
            <a:latin typeface="Abadi" panose="020B0604020104020204" pitchFamily="34" charset="-18"/>
          </a:endParaRPr>
        </a:p>
      </xdr:txBody>
    </xdr:sp>
    <xdr:clientData/>
  </xdr:twoCellAnchor>
  <xdr:twoCellAnchor editAs="absolute">
    <xdr:from>
      <xdr:col>2</xdr:col>
      <xdr:colOff>1618810</xdr:colOff>
      <xdr:row>1</xdr:row>
      <xdr:rowOff>15591</xdr:rowOff>
    </xdr:from>
    <xdr:to>
      <xdr:col>4</xdr:col>
      <xdr:colOff>1870386</xdr:colOff>
      <xdr:row>3</xdr:row>
      <xdr:rowOff>177569</xdr:rowOff>
    </xdr:to>
    <xdr:sp macro="" textlink="">
      <xdr:nvSpPr>
        <xdr:cNvPr id="6" name="Prostokąt: zaokrąglone rogi 5">
          <a:extLst>
            <a:ext uri="{FF2B5EF4-FFF2-40B4-BE49-F238E27FC236}">
              <a16:creationId xmlns:a16="http://schemas.microsoft.com/office/drawing/2014/main" id="{4647C822-D597-43BE-B07D-C5BC9D925D4D}"/>
            </a:ext>
          </a:extLst>
        </xdr:cNvPr>
        <xdr:cNvSpPr/>
      </xdr:nvSpPr>
      <xdr:spPr>
        <a:xfrm>
          <a:off x="3644834" y="194885"/>
          <a:ext cx="3102352" cy="520566"/>
        </a:xfrm>
        <a:prstGeom prst="roundRect">
          <a:avLst/>
        </a:prstGeom>
        <a:solidFill>
          <a:srgbClr val="FF7575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200">
              <a:latin typeface="Abadi" panose="020B0604020104020204" pitchFamily="34" charset="-18"/>
            </a:rPr>
            <a:t>Łączna</a:t>
          </a:r>
          <a:r>
            <a:rPr lang="pl-PL" sz="1200" baseline="0">
              <a:latin typeface="Abadi" panose="020B0604020104020204" pitchFamily="34" charset="-18"/>
            </a:rPr>
            <a:t> wartość</a:t>
          </a:r>
          <a:r>
            <a:rPr lang="en-US" sz="1200">
              <a:latin typeface="Abadi" panose="020B0604020104020204" pitchFamily="34" charset="-18"/>
            </a:rPr>
            <a:t> do weryfikacji</a:t>
          </a:r>
          <a:endParaRPr lang="pl-PL" sz="1200" baseline="0">
            <a:latin typeface="Abadi" panose="020B0604020104020204" pitchFamily="34" charset="-18"/>
          </a:endParaRPr>
        </a:p>
      </xdr:txBody>
    </xdr:sp>
    <xdr:clientData/>
  </xdr:twoCellAnchor>
  <xdr:twoCellAnchor editAs="absolute">
    <xdr:from>
      <xdr:col>2</xdr:col>
      <xdr:colOff>1618810</xdr:colOff>
      <xdr:row>3</xdr:row>
      <xdr:rowOff>71432</xdr:rowOff>
    </xdr:from>
    <xdr:to>
      <xdr:col>4</xdr:col>
      <xdr:colOff>1870386</xdr:colOff>
      <xdr:row>5</xdr:row>
      <xdr:rowOff>69350</xdr:rowOff>
    </xdr:to>
    <xdr:sp macro="" textlink="calc!B8">
      <xdr:nvSpPr>
        <xdr:cNvPr id="7" name="Prostokąt: zaokrąglone rogi 6">
          <a:extLst>
            <a:ext uri="{FF2B5EF4-FFF2-40B4-BE49-F238E27FC236}">
              <a16:creationId xmlns:a16="http://schemas.microsoft.com/office/drawing/2014/main" id="{67BC9192-9FDC-47A5-B780-2759DC34F3F9}"/>
            </a:ext>
          </a:extLst>
        </xdr:cNvPr>
        <xdr:cNvSpPr/>
      </xdr:nvSpPr>
      <xdr:spPr>
        <a:xfrm>
          <a:off x="3644834" y="609314"/>
          <a:ext cx="3102352" cy="356507"/>
        </a:xfrm>
        <a:prstGeom prst="roundRect">
          <a:avLst/>
        </a:prstGeom>
        <a:solidFill>
          <a:srgbClr val="FF7575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E4F7E3C-8889-4596-A696-3D6084C982D1}" type="TxLink">
            <a:rPr lang="en-US" sz="1400" b="0" i="0" u="none" strike="noStrike">
              <a:solidFill>
                <a:schemeClr val="bg1"/>
              </a:solidFill>
              <a:latin typeface="Aptos Narrow"/>
            </a:rPr>
            <a:pPr algn="ctr"/>
            <a:t> 19 498,50 zł </a:t>
          </a:fld>
          <a:endParaRPr lang="en-US" sz="1400">
            <a:solidFill>
              <a:schemeClr val="bg1"/>
            </a:solidFill>
            <a:latin typeface="Abadi" panose="020B0604020104020204" pitchFamily="34" charset="-18"/>
          </a:endParaRPr>
        </a:p>
      </xdr:txBody>
    </xdr:sp>
    <xdr:clientData/>
  </xdr:twoCellAnchor>
  <xdr:twoCellAnchor editAs="absolute">
    <xdr:from>
      <xdr:col>1</xdr:col>
      <xdr:colOff>28393</xdr:colOff>
      <xdr:row>6</xdr:row>
      <xdr:rowOff>15527</xdr:rowOff>
    </xdr:from>
    <xdr:to>
      <xdr:col>2</xdr:col>
      <xdr:colOff>720218</xdr:colOff>
      <xdr:row>8</xdr:row>
      <xdr:rowOff>102011</xdr:rowOff>
    </xdr:to>
    <xdr:sp macro="" textlink="">
      <xdr:nvSpPr>
        <xdr:cNvPr id="8" name="Prostokąt: zaokrąglone rogi 7">
          <a:extLst>
            <a:ext uri="{FF2B5EF4-FFF2-40B4-BE49-F238E27FC236}">
              <a16:creationId xmlns:a16="http://schemas.microsoft.com/office/drawing/2014/main" id="{AAC205EE-FDFE-4877-8F1C-73DA5552DBED}"/>
            </a:ext>
          </a:extLst>
        </xdr:cNvPr>
        <xdr:cNvSpPr/>
      </xdr:nvSpPr>
      <xdr:spPr>
        <a:xfrm>
          <a:off x="637993" y="1091292"/>
          <a:ext cx="2108249" cy="445072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000">
              <a:latin typeface="Abadi" panose="020B0604020104020204" pitchFamily="34" charset="-18"/>
            </a:rPr>
            <a:t>Ilość pozycji w ewidencji do wyjaśnienia</a:t>
          </a:r>
          <a:endParaRPr lang="en-US" sz="1000">
            <a:latin typeface="Abadi" panose="020B0604020104020204" pitchFamily="34" charset="-18"/>
          </a:endParaRPr>
        </a:p>
      </xdr:txBody>
    </xdr:sp>
    <xdr:clientData/>
  </xdr:twoCellAnchor>
  <xdr:twoCellAnchor editAs="absolute">
    <xdr:from>
      <xdr:col>2</xdr:col>
      <xdr:colOff>611361</xdr:colOff>
      <xdr:row>6</xdr:row>
      <xdr:rowOff>15527</xdr:rowOff>
    </xdr:from>
    <xdr:to>
      <xdr:col>2</xdr:col>
      <xdr:colOff>974061</xdr:colOff>
      <xdr:row>8</xdr:row>
      <xdr:rowOff>102012</xdr:rowOff>
    </xdr:to>
    <xdr:sp macro="" textlink="calc!A1">
      <xdr:nvSpPr>
        <xdr:cNvPr id="9" name="Prostokąt: zaokrąglone rogi 8">
          <a:extLst>
            <a:ext uri="{FF2B5EF4-FFF2-40B4-BE49-F238E27FC236}">
              <a16:creationId xmlns:a16="http://schemas.microsoft.com/office/drawing/2014/main" id="{4D18F2F2-450A-409C-B2BE-C08D2DF71347}"/>
            </a:ext>
          </a:extLst>
        </xdr:cNvPr>
        <xdr:cNvSpPr/>
      </xdr:nvSpPr>
      <xdr:spPr>
        <a:xfrm>
          <a:off x="2637385" y="1091292"/>
          <a:ext cx="362700" cy="445073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4DCD4E3-EF83-42F2-9A3D-2AA4107344F2}" type="TxLink">
            <a:rPr lang="en-US" sz="1100" b="0" i="0" u="none" strike="noStrike">
              <a:solidFill>
                <a:schemeClr val="bg1"/>
              </a:solidFill>
              <a:latin typeface="Aptos Narrow"/>
            </a:rPr>
            <a:pPr algn="ctr"/>
            <a:t>8</a:t>
          </a:fld>
          <a:endParaRPr lang="en-US" sz="1100">
            <a:solidFill>
              <a:schemeClr val="bg1"/>
            </a:solidFill>
            <a:latin typeface="Abadi" panose="020B0604020104020204" pitchFamily="34" charset="-18"/>
          </a:endParaRPr>
        </a:p>
      </xdr:txBody>
    </xdr:sp>
    <xdr:clientData/>
  </xdr:twoCellAnchor>
  <xdr:twoCellAnchor editAs="absolute">
    <xdr:from>
      <xdr:col>1</xdr:col>
      <xdr:colOff>28131</xdr:colOff>
      <xdr:row>9</xdr:row>
      <xdr:rowOff>22419</xdr:rowOff>
    </xdr:from>
    <xdr:to>
      <xdr:col>2</xdr:col>
      <xdr:colOff>685027</xdr:colOff>
      <xdr:row>11</xdr:row>
      <xdr:rowOff>123033</xdr:rowOff>
    </xdr:to>
    <xdr:sp macro="" textlink="">
      <xdr:nvSpPr>
        <xdr:cNvPr id="12" name="Prostokąt: zaokrąglone rogi 11">
          <a:extLst>
            <a:ext uri="{FF2B5EF4-FFF2-40B4-BE49-F238E27FC236}">
              <a16:creationId xmlns:a16="http://schemas.microsoft.com/office/drawing/2014/main" id="{4FA08E63-89F0-A80F-B36B-F0017DF1436E}"/>
            </a:ext>
          </a:extLst>
        </xdr:cNvPr>
        <xdr:cNvSpPr/>
      </xdr:nvSpPr>
      <xdr:spPr>
        <a:xfrm>
          <a:off x="637731" y="1636066"/>
          <a:ext cx="2073320" cy="459202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000">
              <a:latin typeface="Abadi" panose="020B0604020104020204" pitchFamily="34" charset="-18"/>
            </a:rPr>
            <a:t>Ilość pozycji w wyciągu do wyjaśnienia</a:t>
          </a:r>
          <a:endParaRPr lang="en-US" sz="1000">
            <a:latin typeface="Abadi" panose="020B0604020104020204" pitchFamily="34" charset="-18"/>
          </a:endParaRPr>
        </a:p>
      </xdr:txBody>
    </xdr:sp>
    <xdr:clientData/>
  </xdr:twoCellAnchor>
  <xdr:twoCellAnchor editAs="absolute">
    <xdr:from>
      <xdr:col>2</xdr:col>
      <xdr:colOff>567460</xdr:colOff>
      <xdr:row>9</xdr:row>
      <xdr:rowOff>23446</xdr:rowOff>
    </xdr:from>
    <xdr:to>
      <xdr:col>2</xdr:col>
      <xdr:colOff>962425</xdr:colOff>
      <xdr:row>11</xdr:row>
      <xdr:rowOff>121561</xdr:rowOff>
    </xdr:to>
    <xdr:sp macro="" textlink="calc!A2">
      <xdr:nvSpPr>
        <xdr:cNvPr id="13" name="Prostokąt: zaokrąglone rogi 12">
          <a:extLst>
            <a:ext uri="{FF2B5EF4-FFF2-40B4-BE49-F238E27FC236}">
              <a16:creationId xmlns:a16="http://schemas.microsoft.com/office/drawing/2014/main" id="{34EFE668-FC53-5C03-0E17-7DEDDB1F1DAA}"/>
            </a:ext>
          </a:extLst>
        </xdr:cNvPr>
        <xdr:cNvSpPr/>
      </xdr:nvSpPr>
      <xdr:spPr>
        <a:xfrm>
          <a:off x="2595552" y="1658815"/>
          <a:ext cx="394965" cy="461531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280F421-3BFF-4093-A1B5-D853DF86D215}" type="TxLink">
            <a:rPr lang="en-US" sz="1100" b="0" i="0" u="none" strike="noStrike">
              <a:solidFill>
                <a:schemeClr val="bg1"/>
              </a:solidFill>
              <a:latin typeface="Aptos Narrow"/>
            </a:rPr>
            <a:pPr algn="ctr"/>
            <a:t>8</a:t>
          </a:fld>
          <a:endParaRPr lang="en-US" sz="1100">
            <a:solidFill>
              <a:schemeClr val="bg1"/>
            </a:solidFill>
            <a:latin typeface="Abadi" panose="020B0604020104020204" pitchFamily="34" charset="-18"/>
          </a:endParaRPr>
        </a:p>
      </xdr:txBody>
    </xdr:sp>
    <xdr:clientData/>
  </xdr:twoCellAnchor>
  <xdr:twoCellAnchor editAs="absolute">
    <xdr:from>
      <xdr:col>2</xdr:col>
      <xdr:colOff>1607773</xdr:colOff>
      <xdr:row>5</xdr:row>
      <xdr:rowOff>177577</xdr:rowOff>
    </xdr:from>
    <xdr:to>
      <xdr:col>4</xdr:col>
      <xdr:colOff>1927413</xdr:colOff>
      <xdr:row>7</xdr:row>
      <xdr:rowOff>116540</xdr:rowOff>
    </xdr:to>
    <xdr:sp macro="" textlink="">
      <xdr:nvSpPr>
        <xdr:cNvPr id="14" name="Prostokąt: zaokrąglone rogi 13">
          <a:extLst>
            <a:ext uri="{FF2B5EF4-FFF2-40B4-BE49-F238E27FC236}">
              <a16:creationId xmlns:a16="http://schemas.microsoft.com/office/drawing/2014/main" id="{6D6F8E7A-AE05-4223-813D-1F586F356258}"/>
            </a:ext>
          </a:extLst>
        </xdr:cNvPr>
        <xdr:cNvSpPr/>
      </xdr:nvSpPr>
      <xdr:spPr>
        <a:xfrm>
          <a:off x="3633797" y="1074048"/>
          <a:ext cx="3170416" cy="297551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000">
              <a:latin typeface="Abadi" panose="020B0604020104020204" pitchFamily="34" charset="-18"/>
            </a:rPr>
            <a:t>Saldo niezgodności - Ewidencja</a:t>
          </a:r>
        </a:p>
      </xdr:txBody>
    </xdr:sp>
    <xdr:clientData/>
  </xdr:twoCellAnchor>
  <xdr:twoCellAnchor editAs="absolute">
    <xdr:from>
      <xdr:col>2</xdr:col>
      <xdr:colOff>1607774</xdr:colOff>
      <xdr:row>7</xdr:row>
      <xdr:rowOff>45060</xdr:rowOff>
    </xdr:from>
    <xdr:to>
      <xdr:col>4</xdr:col>
      <xdr:colOff>1927414</xdr:colOff>
      <xdr:row>8</xdr:row>
      <xdr:rowOff>132944</xdr:rowOff>
    </xdr:to>
    <xdr:sp macro="" textlink="calc!E2">
      <xdr:nvSpPr>
        <xdr:cNvPr id="15" name="Prostokąt: zaokrąglone rogi 14">
          <a:extLst>
            <a:ext uri="{FF2B5EF4-FFF2-40B4-BE49-F238E27FC236}">
              <a16:creationId xmlns:a16="http://schemas.microsoft.com/office/drawing/2014/main" id="{E9DD762F-B5C2-4C7F-89BB-357889951A7F}"/>
            </a:ext>
          </a:extLst>
        </xdr:cNvPr>
        <xdr:cNvSpPr/>
      </xdr:nvSpPr>
      <xdr:spPr>
        <a:xfrm>
          <a:off x="3633798" y="1300119"/>
          <a:ext cx="3170416" cy="267178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8C9A156-598C-4320-937A-72816A8BA539}" type="TxLink">
            <a:rPr lang="en-US" sz="1100" b="0" i="0" u="none" strike="noStrike">
              <a:solidFill>
                <a:schemeClr val="bg1"/>
              </a:solidFill>
              <a:latin typeface="Aptos Narrow"/>
            </a:rPr>
            <a:pPr algn="ctr"/>
            <a:t>-7 600,00 zł </a:t>
          </a:fld>
          <a:endParaRPr lang="en-US" sz="1100">
            <a:solidFill>
              <a:schemeClr val="bg1"/>
            </a:solidFill>
            <a:latin typeface="Abadi" panose="020B0604020104020204" pitchFamily="34" charset="-18"/>
          </a:endParaRPr>
        </a:p>
      </xdr:txBody>
    </xdr:sp>
    <xdr:clientData/>
  </xdr:twoCellAnchor>
  <xdr:twoCellAnchor editAs="absolute">
    <xdr:from>
      <xdr:col>2</xdr:col>
      <xdr:colOff>1613029</xdr:colOff>
      <xdr:row>9</xdr:row>
      <xdr:rowOff>3093</xdr:rowOff>
    </xdr:from>
    <xdr:to>
      <xdr:col>4</xdr:col>
      <xdr:colOff>1915398</xdr:colOff>
      <xdr:row>10</xdr:row>
      <xdr:rowOff>119325</xdr:rowOff>
    </xdr:to>
    <xdr:sp macro="" textlink="">
      <xdr:nvSpPr>
        <xdr:cNvPr id="16" name="Prostokąt: zaokrąglone rogi 15">
          <a:extLst>
            <a:ext uri="{FF2B5EF4-FFF2-40B4-BE49-F238E27FC236}">
              <a16:creationId xmlns:a16="http://schemas.microsoft.com/office/drawing/2014/main" id="{6E310A1F-783B-4DE5-8444-32B27B21511A}"/>
            </a:ext>
          </a:extLst>
        </xdr:cNvPr>
        <xdr:cNvSpPr/>
      </xdr:nvSpPr>
      <xdr:spPr>
        <a:xfrm>
          <a:off x="3639053" y="1616740"/>
          <a:ext cx="3153145" cy="295526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000" baseline="0">
              <a:latin typeface="Abadi" panose="020B0604020104020204" pitchFamily="34" charset="-18"/>
            </a:rPr>
            <a:t>Saldo niezgodności - Wyciąg</a:t>
          </a:r>
        </a:p>
      </xdr:txBody>
    </xdr:sp>
    <xdr:clientData/>
  </xdr:twoCellAnchor>
  <xdr:twoCellAnchor editAs="absolute">
    <xdr:from>
      <xdr:col>2</xdr:col>
      <xdr:colOff>1613029</xdr:colOff>
      <xdr:row>10</xdr:row>
      <xdr:rowOff>42004</xdr:rowOff>
    </xdr:from>
    <xdr:to>
      <xdr:col>4</xdr:col>
      <xdr:colOff>1915398</xdr:colOff>
      <xdr:row>11</xdr:row>
      <xdr:rowOff>112727</xdr:rowOff>
    </xdr:to>
    <xdr:sp macro="" textlink="calc!E3">
      <xdr:nvSpPr>
        <xdr:cNvPr id="17" name="Prostokąt: zaokrąglone rogi 16">
          <a:extLst>
            <a:ext uri="{FF2B5EF4-FFF2-40B4-BE49-F238E27FC236}">
              <a16:creationId xmlns:a16="http://schemas.microsoft.com/office/drawing/2014/main" id="{452AF29B-2C2E-4969-818B-1BC28890A839}"/>
            </a:ext>
          </a:extLst>
        </xdr:cNvPr>
        <xdr:cNvSpPr/>
      </xdr:nvSpPr>
      <xdr:spPr>
        <a:xfrm>
          <a:off x="3639053" y="1834945"/>
          <a:ext cx="3153145" cy="250017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A3A235A-863F-4157-8945-567B5F736642}" type="TxLink">
            <a:rPr lang="en-US" sz="1100" b="0" i="0" u="none" strike="noStrike">
              <a:solidFill>
                <a:schemeClr val="bg1"/>
              </a:solidFill>
              <a:latin typeface="Aptos Narrow"/>
            </a:rPr>
            <a:pPr algn="ctr"/>
            <a:t> 2 213,50 zł </a:t>
          </a:fld>
          <a:endParaRPr lang="en-US" sz="1100">
            <a:solidFill>
              <a:schemeClr val="bg1"/>
            </a:solidFill>
            <a:latin typeface="Abadi" panose="020B0604020104020204" pitchFamily="34" charset="-18"/>
          </a:endParaRPr>
        </a:p>
      </xdr:txBody>
    </xdr:sp>
    <xdr:clientData/>
  </xdr:twoCellAnchor>
  <xdr:twoCellAnchor editAs="absolute">
    <xdr:from>
      <xdr:col>0</xdr:col>
      <xdr:colOff>595000</xdr:colOff>
      <xdr:row>24</xdr:row>
      <xdr:rowOff>23436</xdr:rowOff>
    </xdr:from>
    <xdr:to>
      <xdr:col>2</xdr:col>
      <xdr:colOff>1906536</xdr:colOff>
      <xdr:row>31</xdr:row>
      <xdr:rowOff>134214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1" name="Data_Operacji">
              <a:extLst>
                <a:ext uri="{FF2B5EF4-FFF2-40B4-BE49-F238E27FC236}">
                  <a16:creationId xmlns:a16="http://schemas.microsoft.com/office/drawing/2014/main" id="{EB55E7E1-8DCA-5551-B02A-BAC59148F58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_Operacji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5000" y="4326495"/>
              <a:ext cx="3337560" cy="136583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Oś czasu: działa w programie Excel 2013 lub nowszym. Nie przenoś ani nie zmieniaj rozmiaru.</a:t>
              </a:r>
            </a:p>
          </xdr:txBody>
        </xdr:sp>
      </mc:Fallback>
    </mc:AlternateContent>
    <xdr:clientData fLocksWithSheet="0"/>
  </xdr:twoCellAnchor>
  <xdr:twoCellAnchor editAs="absolute">
    <xdr:from>
      <xdr:col>2</xdr:col>
      <xdr:colOff>2049909</xdr:colOff>
      <xdr:row>24</xdr:row>
      <xdr:rowOff>11335</xdr:rowOff>
    </xdr:from>
    <xdr:to>
      <xdr:col>4</xdr:col>
      <xdr:colOff>986119</xdr:colOff>
      <xdr:row>31</xdr:row>
      <xdr:rowOff>118461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Zakres kwotowy">
              <a:extLst>
                <a:ext uri="{FF2B5EF4-FFF2-40B4-BE49-F238E27FC236}">
                  <a16:creationId xmlns:a16="http://schemas.microsoft.com/office/drawing/2014/main" id="{245CBCBA-6B5A-8407-931C-82BC97C83E7D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Zakres kwotow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75933" y="4314394"/>
              <a:ext cx="1786986" cy="136218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 fLocksWithSheet="0"/>
  </xdr:twoCellAnchor>
  <xdr:twoCellAnchor editAs="absolute">
    <xdr:from>
      <xdr:col>4</xdr:col>
      <xdr:colOff>1215487</xdr:colOff>
      <xdr:row>24</xdr:row>
      <xdr:rowOff>7299</xdr:rowOff>
    </xdr:from>
    <xdr:to>
      <xdr:col>7</xdr:col>
      <xdr:colOff>145998</xdr:colOff>
      <xdr:row>31</xdr:row>
      <xdr:rowOff>123840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6" name="Data_Ksiegowania">
              <a:extLst>
                <a:ext uri="{FF2B5EF4-FFF2-40B4-BE49-F238E27FC236}">
                  <a16:creationId xmlns:a16="http://schemas.microsoft.com/office/drawing/2014/main" id="{6452CACD-B4FA-CDBC-C190-B5C3CE939E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_Ksiegowan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92287" y="4310358"/>
              <a:ext cx="3314252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Oś czasu: działa w programie Excel 2013 lub nowszym. Nie przenoś ani nie zmieniaj rozmiaru.</a:t>
              </a:r>
            </a:p>
          </xdr:txBody>
        </xdr:sp>
      </mc:Fallback>
    </mc:AlternateContent>
    <xdr:clientData fLocksWithSheet="0"/>
  </xdr:twoCellAnchor>
  <xdr:twoCellAnchor editAs="absolute">
    <xdr:from>
      <xdr:col>7</xdr:col>
      <xdr:colOff>242938</xdr:colOff>
      <xdr:row>24</xdr:row>
      <xdr:rowOff>7048</xdr:rowOff>
    </xdr:from>
    <xdr:to>
      <xdr:col>9</xdr:col>
      <xdr:colOff>290962</xdr:colOff>
      <xdr:row>31</xdr:row>
      <xdr:rowOff>145775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7" name="Zakres kwotowy 1">
              <a:extLst>
                <a:ext uri="{FF2B5EF4-FFF2-40B4-BE49-F238E27FC236}">
                  <a16:creationId xmlns:a16="http://schemas.microsoft.com/office/drawing/2014/main" id="{267FAF15-45BB-19EF-E502-C11E9FB2EBED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Zakres kwotowy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03479" y="4310107"/>
              <a:ext cx="1805107" cy="13937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563880</xdr:colOff>
      <xdr:row>0</xdr:row>
      <xdr:rowOff>30480</xdr:rowOff>
    </xdr:from>
    <xdr:to>
      <xdr:col>6</xdr:col>
      <xdr:colOff>487680</xdr:colOff>
      <xdr:row>2</xdr:row>
      <xdr:rowOff>121920</xdr:rowOff>
    </xdr:to>
    <xdr:sp macro="" textlink="">
      <xdr:nvSpPr>
        <xdr:cNvPr id="2" name="pole tekstowe 1">
          <a:extLst>
            <a:ext uri="{FF2B5EF4-FFF2-40B4-BE49-F238E27FC236}">
              <a16:creationId xmlns:a16="http://schemas.microsoft.com/office/drawing/2014/main" id="{CE85122F-14BB-1F9C-6AB8-8D624FFBB6C4}"/>
            </a:ext>
          </a:extLst>
        </xdr:cNvPr>
        <xdr:cNvSpPr txBox="1"/>
      </xdr:nvSpPr>
      <xdr:spPr>
        <a:xfrm>
          <a:off x="1173480" y="30480"/>
          <a:ext cx="4541520" cy="457200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l-PL" sz="1100"/>
            <a:t>Wstaw</a:t>
          </a:r>
          <a:r>
            <a:rPr lang="pl-PL" sz="1100" baseline="0"/>
            <a:t> </a:t>
          </a:r>
          <a:r>
            <a:rPr lang="pl-PL" sz="1100" b="1" baseline="0"/>
            <a:t>ID_Wewnętrzne </a:t>
          </a:r>
          <a:r>
            <a:rPr lang="pl-PL" sz="1100" baseline="0"/>
            <a:t>z ewidencji księgowej oraz </a:t>
          </a:r>
          <a:r>
            <a:rPr lang="pl-PL" sz="1100" b="1" baseline="0"/>
            <a:t>ID_Transakcji </a:t>
          </a:r>
          <a:r>
            <a:rPr lang="pl-PL" sz="1100" baseline="0"/>
            <a:t>z wyciągu bankowego i porównaj!</a:t>
          </a:r>
          <a:endParaRPr lang="en-US" sz="1100"/>
        </a:p>
      </xdr:txBody>
    </xdr:sp>
    <xdr:clientData/>
  </xdr:twoCellAnchor>
  <xdr:twoCellAnchor>
    <xdr:from>
      <xdr:col>1</xdr:col>
      <xdr:colOff>883920</xdr:colOff>
      <xdr:row>1</xdr:row>
      <xdr:rowOff>99060</xdr:rowOff>
    </xdr:from>
    <xdr:to>
      <xdr:col>1</xdr:col>
      <xdr:colOff>1485900</xdr:colOff>
      <xdr:row>3</xdr:row>
      <xdr:rowOff>91440</xdr:rowOff>
    </xdr:to>
    <xdr:cxnSp macro="">
      <xdr:nvCxnSpPr>
        <xdr:cNvPr id="4" name="Łącznik prosty ze strzałką 3">
          <a:extLst>
            <a:ext uri="{FF2B5EF4-FFF2-40B4-BE49-F238E27FC236}">
              <a16:creationId xmlns:a16="http://schemas.microsoft.com/office/drawing/2014/main" id="{0E66AB11-A3AC-F69C-D481-0C1C01343BDB}"/>
            </a:ext>
          </a:extLst>
        </xdr:cNvPr>
        <xdr:cNvCxnSpPr/>
      </xdr:nvCxnSpPr>
      <xdr:spPr>
        <a:xfrm flipH="1">
          <a:off x="1493520" y="281940"/>
          <a:ext cx="601980" cy="358140"/>
        </a:xfrm>
        <a:prstGeom prst="straightConnector1">
          <a:avLst/>
        </a:prstGeom>
        <a:ln w="19050" cap="flat" cmpd="sng" algn="ctr">
          <a:solidFill>
            <a:schemeClr val="accent2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556260</xdr:colOff>
      <xdr:row>1</xdr:row>
      <xdr:rowOff>91440</xdr:rowOff>
    </xdr:from>
    <xdr:to>
      <xdr:col>6</xdr:col>
      <xdr:colOff>152400</xdr:colOff>
      <xdr:row>3</xdr:row>
      <xdr:rowOff>91440</xdr:rowOff>
    </xdr:to>
    <xdr:cxnSp macro="">
      <xdr:nvCxnSpPr>
        <xdr:cNvPr id="7" name="Łącznik prosty ze strzałką 6">
          <a:extLst>
            <a:ext uri="{FF2B5EF4-FFF2-40B4-BE49-F238E27FC236}">
              <a16:creationId xmlns:a16="http://schemas.microsoft.com/office/drawing/2014/main" id="{2334CD90-A09D-E7D0-FAD1-01D16A3AAE57}"/>
            </a:ext>
          </a:extLst>
        </xdr:cNvPr>
        <xdr:cNvCxnSpPr/>
      </xdr:nvCxnSpPr>
      <xdr:spPr>
        <a:xfrm>
          <a:off x="4610100" y="274320"/>
          <a:ext cx="769620" cy="365760"/>
        </a:xfrm>
        <a:prstGeom prst="straightConnector1">
          <a:avLst/>
        </a:prstGeom>
        <a:ln w="19050" cap="flat" cmpd="sng" algn="ctr">
          <a:solidFill>
            <a:schemeClr val="accent2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</xdr:col>
      <xdr:colOff>822960</xdr:colOff>
      <xdr:row>7</xdr:row>
      <xdr:rowOff>7620</xdr:rowOff>
    </xdr:from>
    <xdr:to>
      <xdr:col>6</xdr:col>
      <xdr:colOff>365760</xdr:colOff>
      <xdr:row>9</xdr:row>
      <xdr:rowOff>91440</xdr:rowOff>
    </xdr:to>
    <xdr:sp macro="" textlink="">
      <xdr:nvSpPr>
        <xdr:cNvPr id="9" name="pole tekstowe 8">
          <a:extLst>
            <a:ext uri="{FF2B5EF4-FFF2-40B4-BE49-F238E27FC236}">
              <a16:creationId xmlns:a16="http://schemas.microsoft.com/office/drawing/2014/main" id="{2C94186F-FACF-7E04-1CCB-E0C40DF24260}"/>
            </a:ext>
          </a:extLst>
        </xdr:cNvPr>
        <xdr:cNvSpPr txBox="1"/>
      </xdr:nvSpPr>
      <xdr:spPr>
        <a:xfrm>
          <a:off x="1432560" y="1306333"/>
          <a:ext cx="3763617" cy="454881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l-PL" sz="1100"/>
            <a:t>Jeśli zaksięgowana faktura</a:t>
          </a:r>
          <a:r>
            <a:rPr lang="pl-PL" sz="1100" baseline="0"/>
            <a:t> zgadza się z daną operacją to kliknij przycisk!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807720</xdr:colOff>
          <xdr:row>10</xdr:row>
          <xdr:rowOff>83820</xdr:rowOff>
        </xdr:from>
        <xdr:to>
          <xdr:col>4</xdr:col>
          <xdr:colOff>586740</xdr:colOff>
          <xdr:row>12</xdr:row>
          <xdr:rowOff>160020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1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Przenieś do uzgodnionych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rol Kmita" refreshedDate="46063.857514699077" createdVersion="8" refreshedVersion="8" minRefreshableVersion="3" recordCount="8" xr:uid="{2A390FA4-6FA1-4A04-8030-E0D2E59F2F52}">
  <cacheSource type="worksheet">
    <worksheetSource name="Ewidencja_Unmatched"/>
  </cacheSource>
  <cacheFields count="6">
    <cacheField name="ID_Wewnetrzne" numFmtId="0">
      <sharedItems/>
    </cacheField>
    <cacheField name="Data_Ksiegowania" numFmtId="14">
      <sharedItems containsSemiMixedTypes="0" containsNonDate="0" containsDate="1" containsString="0" minDate="2026-02-25T00:00:00" maxDate="2026-03-01T00:00:00" count="4">
        <d v="2026-02-25T00:00:00"/>
        <d v="2026-02-28T00:00:00"/>
        <d v="2026-02-26T00:00:00"/>
        <d v="2026-02-27T00:00:00"/>
      </sharedItems>
    </cacheField>
    <cacheField name="Kontrahent" numFmtId="0">
      <sharedItems count="8">
        <s v="Klient Beta"/>
        <s v="Wynajem Biura"/>
        <s v="Media i Prad"/>
        <s v="Klient Iota"/>
        <s v="Wynagrodzenie"/>
        <s v="Bonus"/>
        <s v="Leasing"/>
        <s v="Serwis IT"/>
      </sharedItems>
    </cacheField>
    <cacheField name="Nr_Faktury" numFmtId="0">
      <sharedItems count="8">
        <s v="SALE 402"/>
        <s v="RENT FEB 26"/>
        <s v="UTIL 999"/>
        <s v="SALE 409"/>
        <s v="A_KOWALSKI"/>
        <s v="BON 01"/>
        <s v="LEAS CAR 1"/>
        <s v="IT FIX 05"/>
      </sharedItems>
    </cacheField>
    <cacheField name="Kwota" numFmtId="0">
      <sharedItems containsSemiMixedTypes="0" containsString="0" containsNumber="1" containsInteger="1" minValue="-5000" maxValue="3200"/>
    </cacheField>
    <cacheField name="Zakres kwotowy" numFmtId="0">
      <sharedItems count="3">
        <s v="Od 1000zł do 4999,99zł"/>
        <s v="Do 99,99zł"/>
        <s v="Od 100zł do 999,99zł"/>
      </sharedItems>
    </cacheField>
  </cacheFields>
  <extLst>
    <ext xmlns:x14="http://schemas.microsoft.com/office/spreadsheetml/2009/9/main" uri="{725AE2AE-9491-48be-B2B4-4EB974FC3084}">
      <x14:pivotCacheDefinition pivotCacheId="106365904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rol Kmita" refreshedDate="46063.857514699077" createdVersion="8" refreshedVersion="8" minRefreshableVersion="3" recordCount="8" xr:uid="{95BD8527-434C-4185-A720-F4E3FC98A94E}">
  <cacheSource type="worksheet">
    <worksheetSource name="Wyciąg_Unmatched"/>
  </cacheSource>
  <cacheFields count="5">
    <cacheField name="ID_Transakcji" numFmtId="0">
      <sharedItems/>
    </cacheField>
    <cacheField name="Data_Operacji" numFmtId="14">
      <sharedItems containsSemiMixedTypes="0" containsNonDate="0" containsDate="1" containsString="0" minDate="2026-02-26T00:00:00" maxDate="2026-03-01T00:00:00" count="3">
        <d v="2026-02-26T00:00:00"/>
        <d v="2026-02-27T00:00:00"/>
        <d v="2026-02-28T00:00:00"/>
      </sharedItems>
    </cacheField>
    <cacheField name="Opis_Transakcji" numFmtId="0">
      <sharedItems count="8">
        <s v="OD KLIENTA"/>
        <s v="OPLATA ZA PROWADZENIE RACHUNKU"/>
        <s v="PROWIZJA ZA Y"/>
        <s v="ODSETKI OD LOKAT"/>
        <s v="SKLEP SPOZYWCZY"/>
        <s v="TERMINAL KARTA 001"/>
        <s v="ZWROT PODATKU"/>
        <s v="PREMIA"/>
      </sharedItems>
    </cacheField>
    <cacheField name="Kwota_Operacji" numFmtId="0">
      <sharedItems containsSemiMixedTypes="0" containsString="0" containsNumber="1" minValue="-150" maxValue="1250.8"/>
    </cacheField>
    <cacheField name="Zakres kwotowy" numFmtId="0">
      <sharedItems count="2">
        <s v="Od 1000zł do 4999,99zł"/>
        <s v="Do 99,99zł"/>
      </sharedItems>
    </cacheField>
  </cacheFields>
  <extLst>
    <ext xmlns:x14="http://schemas.microsoft.com/office/spreadsheetml/2009/9/main" uri="{725AE2AE-9491-48be-B2B4-4EB974FC3084}">
      <x14:pivotCacheDefinition pivotCacheId="155201231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s v="ERP/2026/006"/>
    <x v="0"/>
    <x v="0"/>
    <x v="0"/>
    <n v="1250"/>
    <x v="0"/>
  </r>
  <r>
    <s v="ERP/2026/007"/>
    <x v="1"/>
    <x v="1"/>
    <x v="1"/>
    <n v="-5000"/>
    <x v="1"/>
  </r>
  <r>
    <s v="ERP/2026/008"/>
    <x v="1"/>
    <x v="2"/>
    <x v="2"/>
    <n v="-350"/>
    <x v="1"/>
  </r>
  <r>
    <s v="ERP/2026/025"/>
    <x v="0"/>
    <x v="3"/>
    <x v="3"/>
    <n v="3200"/>
    <x v="0"/>
  </r>
  <r>
    <s v="ERP/2026/028"/>
    <x v="2"/>
    <x v="4"/>
    <x v="4"/>
    <n v="-4800"/>
    <x v="1"/>
  </r>
  <r>
    <s v="ERP/2026/030"/>
    <x v="3"/>
    <x v="5"/>
    <x v="5"/>
    <n v="150"/>
    <x v="2"/>
  </r>
  <r>
    <s v="ERP/2026/031"/>
    <x v="1"/>
    <x v="6"/>
    <x v="6"/>
    <n v="-1850"/>
    <x v="1"/>
  </r>
  <r>
    <s v="ERP/2026/032"/>
    <x v="1"/>
    <x v="7"/>
    <x v="7"/>
    <n v="-200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s v="ID_6"/>
    <x v="0"/>
    <x v="0"/>
    <n v="1250.8"/>
    <x v="0"/>
  </r>
  <r>
    <s v="ID_25"/>
    <x v="1"/>
    <x v="1"/>
    <n v="-25"/>
    <x v="1"/>
  </r>
  <r>
    <s v="ID_26"/>
    <x v="1"/>
    <x v="2"/>
    <n v="-10"/>
    <x v="1"/>
  </r>
  <r>
    <s v="ID_27"/>
    <x v="1"/>
    <x v="3"/>
    <n v="5.2"/>
    <x v="1"/>
  </r>
  <r>
    <s v="ID_29"/>
    <x v="2"/>
    <x v="4"/>
    <n v="-45"/>
    <x v="1"/>
  </r>
  <r>
    <s v="ID_30"/>
    <x v="2"/>
    <x v="5"/>
    <n v="-12.5"/>
    <x v="1"/>
  </r>
  <r>
    <s v="ID_31"/>
    <x v="2"/>
    <x v="6"/>
    <n v="1200"/>
    <x v="0"/>
  </r>
  <r>
    <s v="ID_32"/>
    <x v="2"/>
    <x v="7"/>
    <n v="-15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4D7B34-D0BE-4405-8DBE-67642B9C609D}" name="Tabela przestawna8" cacheId="0" applyNumberFormats="0" applyBorderFormats="0" applyFontFormats="0" applyPatternFormats="0" applyAlignmentFormats="0" applyWidthHeightFormats="1" dataCaption="Wartości" missingCaption="-" updatedVersion="8" minRefreshableVersion="5" useAutoFormatting="1" rowGrandTotals="0" colGrandTotals="0" itemPrintTitles="1" createdVersion="8" indent="0" compact="0" compactData="0" multipleFieldFilters="0">
  <location ref="F15:I23" firstHeaderRow="1" firstDataRow="1" firstDataCol="3"/>
  <pivotFields count="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5"/>
        <item x="0"/>
        <item x="3"/>
        <item x="6"/>
        <item x="2"/>
        <item x="7"/>
        <item x="4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measureFilter="1" defaultSubtotal="0">
      <items count="8">
        <item x="4"/>
        <item x="5"/>
        <item x="7"/>
        <item x="6"/>
        <item x="1"/>
        <item x="0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8">
    <i>
      <x/>
      <x v="1"/>
      <x v="5"/>
    </i>
    <i r="1">
      <x v="2"/>
      <x v="6"/>
    </i>
    <i>
      <x v="1"/>
      <x v="6"/>
      <x/>
    </i>
    <i>
      <x v="2"/>
      <x/>
      <x v="1"/>
    </i>
    <i>
      <x v="3"/>
      <x v="3"/>
      <x v="3"/>
    </i>
    <i r="1">
      <x v="4"/>
      <x v="7"/>
    </i>
    <i r="1">
      <x v="5"/>
      <x v="2"/>
    </i>
    <i r="1">
      <x v="7"/>
      <x v="4"/>
    </i>
  </rowItems>
  <colItems count="1">
    <i/>
  </colItems>
  <dataFields count="1">
    <dataField name="Suma z Kwota" fld="4" baseField="0" baseItem="0"/>
  </dataFields>
  <pivotTableStyleInfo name="PivotStyleLight20" showRowHeaders="1" showColHeaders="1" showRowStripes="0" showColStripes="0" showLastColumn="1"/>
  <filters count="1">
    <filter fld="3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16D85C-2D23-42C8-B0A8-5A3F62DB6B06}" name="Tabela przestawna7" cacheId="1" applyNumberFormats="0" applyBorderFormats="0" applyFontFormats="0" applyPatternFormats="0" applyAlignmentFormats="0" applyWidthHeightFormats="1" dataCaption="Wartości" missingCaption="-" updatedVersion="8" minRefreshableVersion="5" useAutoFormatting="1" rowGrandTotals="0" colGrandTotals="0" itemPrintTitles="1" createdVersion="8" indent="0" compact="0" compactData="0" multipleFieldFilters="0">
  <location ref="B15:D23" firstHeaderRow="1" firstDataRow="1" firstDataCol="2"/>
  <pivotFields count="5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measureFilter="1" defaultSubtotal="0">
      <items count="8">
        <item x="0"/>
        <item x="3"/>
        <item x="1"/>
        <item x="7"/>
        <item x="2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8">
    <i>
      <x/>
      <x/>
    </i>
    <i>
      <x v="1"/>
      <x v="1"/>
    </i>
    <i r="1">
      <x v="2"/>
    </i>
    <i r="1">
      <x v="4"/>
    </i>
    <i>
      <x v="2"/>
      <x v="3"/>
    </i>
    <i r="1">
      <x v="5"/>
    </i>
    <i r="1">
      <x v="6"/>
    </i>
    <i r="1">
      <x v="7"/>
    </i>
  </rowItems>
  <colItems count="1">
    <i/>
  </colItems>
  <dataFields count="1">
    <dataField name="Kwota" fld="3" baseField="1" baseItem="0"/>
  </dataFields>
  <pivotTableStyleInfo name="PivotStyleLight18" showRowHeaders="1" showColHeaders="1" showRowStripes="0" showColStripes="0" showLastColumn="1"/>
  <filters count="1">
    <filter fld="2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backgroundRefresh="0" connectionId="3" xr16:uid="{C23B1DC9-424C-4C7D-93BA-A29F6A1CEF05}" autoFormatId="16" applyNumberFormats="0" applyBorderFormats="0" applyFontFormats="0" applyPatternFormats="0" applyAlignmentFormats="0" applyWidthHeightFormats="0">
  <queryTableRefresh nextId="11">
    <queryTableFields count="9">
      <queryTableField id="1" name="ID_Wewnetrzne" tableColumnId="1"/>
      <queryTableField id="2" name="Data_Ksiegowania" tableColumnId="2"/>
      <queryTableField id="3" name="Kontrahent" tableColumnId="3"/>
      <queryTableField id="4" name="Nr_Faktury" tableColumnId="4"/>
      <queryTableField id="5" name="Kwota" tableColumnId="5"/>
      <queryTableField id="9" name="ID_Transakcji" tableColumnId="9"/>
      <queryTableField id="6" name="Data_Operacji" tableColumnId="6"/>
      <queryTableField id="7" name="Opis_Transakcji" tableColumnId="7"/>
      <queryTableField id="8" name="Kwota_Operacji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connectionId="2" xr16:uid="{A31467AA-DCA0-402B-AA2C-95D8352B0494}" autoFormatId="16" applyNumberFormats="0" applyBorderFormats="0" applyFontFormats="0" applyPatternFormats="0" applyAlignmentFormats="0" applyWidthHeightFormats="0">
  <queryTableRefresh nextId="8">
    <queryTableFields count="6">
      <queryTableField id="1" name="ID_Wewnetrzne" tableColumnId="1"/>
      <queryTableField id="2" name="Data_Ksiegowania" tableColumnId="2"/>
      <queryTableField id="3" name="Kontrahent" tableColumnId="3"/>
      <queryTableField id="4" name="Nr_Faktury" tableColumnId="4"/>
      <queryTableField id="5" name="Kwota" tableColumnId="5"/>
      <queryTableField id="7" name="Zakres kwotowy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connectionId="16" xr16:uid="{72B667D5-EED1-4CD0-AFAF-011B9690C02A}" autoFormatId="16" applyNumberFormats="0" applyBorderFormats="0" applyFontFormats="0" applyPatternFormats="0" applyAlignmentFormats="0" applyWidthHeightFormats="0">
  <queryTableRefresh nextId="9">
    <queryTableFields count="5">
      <queryTableField id="7" name="ID_Transakcji" tableColumnId="6"/>
      <queryTableField id="1" name="Data_Operacji" tableColumnId="1"/>
      <queryTableField id="2" name="Opis_Transakcji" tableColumnId="2"/>
      <queryTableField id="3" name="Kwota_Operacji" tableColumnId="3"/>
      <queryTableField id="4" name="Zakres kwotowy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5" xr16:uid="{3786751C-2F01-44BB-B845-DDC7FABA5E05}" autoFormatId="16" applyNumberFormats="0" applyBorderFormats="0" applyFontFormats="0" applyPatternFormats="0" applyAlignmentFormats="0" applyWidthHeightFormats="0">
  <queryTableRefresh nextId="8">
    <queryTableFields count="4">
      <queryTableField id="6" name="ID_Transakcji" tableColumnId="5"/>
      <queryTableField id="1" name="Data_Operacji" tableColumnId="1"/>
      <queryTableField id="2" name="Opis_Transakcji" tableColumnId="2"/>
      <queryTableField id="3" name="Kwota_Operacji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EE3B376F-9DB8-4DA2-99AE-6DC501F8BA92}" autoFormatId="16" applyNumberFormats="0" applyBorderFormats="0" applyFontFormats="0" applyPatternFormats="0" applyAlignmentFormats="0" applyWidthHeightFormats="0">
  <queryTableRefresh nextId="6">
    <queryTableFields count="5">
      <queryTableField id="1" name="ID_Wewnetrzne" tableColumnId="1"/>
      <queryTableField id="2" name="Data_Ksiegowania" tableColumnId="2"/>
      <queryTableField id="3" name="Kontrahent" tableColumnId="3"/>
      <queryTableField id="4" name="Nr_Faktury" tableColumnId="4"/>
      <queryTableField id="5" name="Kwota" tableColumnId="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8" xr16:uid="{4FFBFF5E-951D-4BF0-98A2-4DED80BF7B7F}" autoFormatId="16" applyNumberFormats="0" applyBorderFormats="0" applyFontFormats="0" applyPatternFormats="0" applyAlignmentFormats="0" applyWidthHeightFormats="0">
  <queryTableRefresh nextId="10">
    <queryTableFields count="9">
      <queryTableField id="1" name="ID_Wewnetrzne" tableColumnId="1"/>
      <queryTableField id="2" name="Data_Ksiegowania" tableColumnId="2"/>
      <queryTableField id="3" name="Kontrahent" tableColumnId="3"/>
      <queryTableField id="4" name="Nr_Faktury" tableColumnId="4"/>
      <queryTableField id="5" name="Kwota" tableColumnId="5"/>
      <queryTableField id="6" name="ID_Transakcji" tableColumnId="6"/>
      <queryTableField id="7" name="Data_Operacji" tableColumnId="7"/>
      <queryTableField id="8" name="Opis_Transakcji" tableColumnId="8"/>
      <queryTableField id="9" name="Kwota_Operacji" tableColumnId="9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Zakres_kwotowy1" xr10:uid="{B038079E-A262-462B-8875-418B2E918112}" sourceName="Zakres kwotowy">
  <pivotTables>
    <pivotTable tabId="20" name="Tabela przestawna8"/>
  </pivotTables>
  <data>
    <tabular pivotCacheId="1063659046">
      <items count="3">
        <i x="1" s="1"/>
        <i x="0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Zakres_kwotowy" xr10:uid="{EC220D25-DE54-48C6-85FE-70E2FFDB9566}" sourceName="Zakres kwotowy">
  <pivotTables>
    <pivotTable tabId="20" name="Tabela przestawna7"/>
  </pivotTables>
  <data>
    <tabular pivotCacheId="1552012315">
      <items count="2">
        <i x="1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Zakres kwotowy 1" xr10:uid="{43BB5F88-4447-4ECB-B19D-88F82DB5A907}" cache="Fragmentator_Zakres_kwotowy1" caption="Zakres kwotowy" style="SlicerStyleLight5" lockedPosition="1" rowHeight="247650"/>
  <slicer name="Zakres kwotowy" xr10:uid="{84D89AF1-1AD3-49EF-AE48-4F5CEEAC5C56}" cache="Fragmentator_Zakres_kwotowy" caption="Zakres kwotowy" style="SlicerStyleLight3" lockedPosition="1" rowHeight="24765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C88F70C-5241-403A-9131-EAF59FB0E5C2}" name="Tabela19" displayName="Tabela19" ref="G3:I10" totalsRowShown="0">
  <autoFilter ref="G3:I10" xr:uid="{FC88F70C-5241-403A-9131-EAF59FB0E5C2}"/>
  <tableColumns count="3">
    <tableColumn id="1" xr3:uid="{4265DF8E-0405-4668-B6F5-9EB6E1A156D4}" name="Lp."/>
    <tableColumn id="2" xr3:uid="{6EBB1AAE-344D-49C6-9E5F-F41889693080}" name="Opis pozycji"/>
    <tableColumn id="3" xr3:uid="{29BBDF45-372A-421D-924F-6277A1C379B5}" name="Kwota" dataCellStyle="Walutowy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3080024-22CD-4BD5-83FD-79623BFD5F04}" name="Matched" displayName="Matched" ref="A1:I25" tableType="queryTable" totalsRowShown="0">
  <autoFilter ref="A1:I25" xr:uid="{93080024-22CD-4BD5-83FD-79623BFD5F04}"/>
  <tableColumns count="9">
    <tableColumn id="1" xr3:uid="{8B9EA44C-15C2-47B1-8D13-5330D687053C}" uniqueName="1" name="ID_Wewnetrzne" queryTableFieldId="1" dataDxfId="19"/>
    <tableColumn id="2" xr3:uid="{045FE13E-9949-4FAC-9D04-AD9362ECDF44}" uniqueName="2" name="Data_Ksiegowania" queryTableFieldId="2" dataDxfId="18"/>
    <tableColumn id="3" xr3:uid="{A3100AD0-37E8-45A4-AA49-321252F7EED6}" uniqueName="3" name="Kontrahent" queryTableFieldId="3" dataDxfId="17"/>
    <tableColumn id="4" xr3:uid="{FAD5594B-A113-4481-9BDB-2BF5A5D0E317}" uniqueName="4" name="Nr_Faktury" queryTableFieldId="4" dataDxfId="16"/>
    <tableColumn id="5" xr3:uid="{A86CA893-EEA6-42B0-AC53-3E9A00F9EA44}" uniqueName="5" name="Kwota" queryTableFieldId="5" dataDxfId="15"/>
    <tableColumn id="9" xr3:uid="{71649D7B-0831-4C61-9013-8ED7B4BC13F4}" uniqueName="9" name="ID_Transakcji" queryTableFieldId="9"/>
    <tableColumn id="6" xr3:uid="{339A166A-E47E-4714-924F-10582EFCF737}" uniqueName="6" name="Data_Operacji" queryTableFieldId="6" dataDxfId="14"/>
    <tableColumn id="7" xr3:uid="{328146E0-48D0-4453-B1A4-A0B3F92276AC}" uniqueName="7" name="Opis_Transakcji" queryTableFieldId="7" dataDxfId="13"/>
    <tableColumn id="8" xr3:uid="{96BA4571-C5C9-482B-928D-9C4E971E6169}" uniqueName="8" name="Kwota_Operacji" queryTableFieldId="8" dataDxf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73C7237-B8AC-48AF-BE9A-A48092EAAB89}" name="Ewidencja_Unmatched" displayName="Ewidencja_Unmatched" ref="A1:F9" tableType="queryTable" totalsRowShown="0">
  <autoFilter ref="A1:F9" xr:uid="{B73C7237-B8AC-48AF-BE9A-A48092EAAB89}"/>
  <tableColumns count="6">
    <tableColumn id="1" xr3:uid="{AE8BE32D-A7A6-4CEF-AB46-3149928974C0}" uniqueName="1" name="ID_Wewnetrzne" queryTableFieldId="1" dataDxfId="11"/>
    <tableColumn id="2" xr3:uid="{57EE44E8-634D-442E-8FC4-313A3A00058C}" uniqueName="2" name="Data_Ksiegowania" queryTableFieldId="2" dataDxfId="10"/>
    <tableColumn id="3" xr3:uid="{4E71F122-46C5-4013-853A-5040ABE375AA}" uniqueName="3" name="Kontrahent" queryTableFieldId="3" dataDxfId="9"/>
    <tableColumn id="4" xr3:uid="{28F0EC11-1A06-4442-9CD4-1EC5D8ACFD4E}" uniqueName="4" name="Nr_Faktury" queryTableFieldId="4" dataDxfId="8"/>
    <tableColumn id="5" xr3:uid="{BF5E405D-3077-4F8A-B1FF-D050CDB6BE3A}" uniqueName="5" name="Kwota" queryTableFieldId="5"/>
    <tableColumn id="7" xr3:uid="{70C589B1-E31E-4D63-AE1D-50163A28A8C2}" uniqueName="7" name="Zakres kwotowy" queryTableField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4C603E8-2999-411F-A9E2-2E1CACB9B1E0}" name="Wyciąg_Unmatched" displayName="Wyciąg_Unmatched" ref="A1:E9" tableType="queryTable" totalsRowShown="0">
  <autoFilter ref="A1:E9" xr:uid="{04C603E8-2999-411F-A9E2-2E1CACB9B1E0}"/>
  <tableColumns count="5">
    <tableColumn id="6" xr3:uid="{F8044C28-F1B9-48C0-8895-C9ABCFBADE09}" uniqueName="6" name="ID_Transakcji" queryTableFieldId="7"/>
    <tableColumn id="1" xr3:uid="{2477A958-70B5-4433-925F-2390EF32C3E5}" uniqueName="1" name="Data_Operacji" queryTableFieldId="1" dataDxfId="7"/>
    <tableColumn id="2" xr3:uid="{00E00F55-98ED-4195-8954-BB2F104F7889}" uniqueName="2" name="Opis_Transakcji" queryTableFieldId="2" dataDxfId="6"/>
    <tableColumn id="3" xr3:uid="{2893A214-D4A0-4D20-A905-51E4B3F4964F}" uniqueName="3" name="Kwota_Operacji" queryTableFieldId="3"/>
    <tableColumn id="4" xr3:uid="{979B31D2-CE72-4CAA-A1D6-7CFAD64C8ED7}" uniqueName="4" name="Zakres kwotowy" queryTableFieldId="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4E07BB-41AC-444F-AE50-4CF2A303C6CE}" name="Wyciag_Bankowy_Full_csv" displayName="Wyciag_Bankowy_Full_csv" ref="A1:D33" tableType="queryTable" totalsRowShown="0">
  <autoFilter ref="A1:D33" xr:uid="{284E07BB-41AC-444F-AE50-4CF2A303C6CE}"/>
  <sortState xmlns:xlrd2="http://schemas.microsoft.com/office/spreadsheetml/2017/richdata2" ref="A2:D33">
    <sortCondition ref="B1:B33"/>
  </sortState>
  <tableColumns count="4">
    <tableColumn id="5" xr3:uid="{7B66D0BE-798F-450A-B966-B7F2E420C23D}" uniqueName="5" name="ID_Transakcji" queryTableFieldId="6"/>
    <tableColumn id="1" xr3:uid="{E32015F2-7CFD-4C6B-BD2E-3E9B07280E74}" uniqueName="1" name="Data_Operacji" queryTableFieldId="1" dataDxfId="5"/>
    <tableColumn id="2" xr3:uid="{530A3AC5-05F2-4897-9365-19DF31B9414B}" uniqueName="2" name="Opis_Transakcji" queryTableFieldId="2" dataDxfId="4"/>
    <tableColumn id="3" xr3:uid="{A043ED41-5850-4B66-9B96-025737FDED57}" uniqueName="3" name="Kwota_Operacji" queryTableFieldId="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30BBF3-8200-4401-9340-9F0A34F442EB}" name="Ewidencja_Ksiegowa_Full_csv" displayName="Ewidencja_Ksiegowa_Full_csv" ref="A1:E33" tableType="queryTable" totalsRowShown="0">
  <autoFilter ref="A1:E33" xr:uid="{CB30BBF3-8200-4401-9340-9F0A34F442EB}"/>
  <sortState xmlns:xlrd2="http://schemas.microsoft.com/office/spreadsheetml/2017/richdata2" ref="A2:E33">
    <sortCondition ref="E1:E33"/>
  </sortState>
  <tableColumns count="5">
    <tableColumn id="1" xr3:uid="{B0492384-E589-4CCD-8447-D4A05FB5BC32}" uniqueName="1" name="ID_Wewnetrzne" queryTableFieldId="1" dataDxfId="3"/>
    <tableColumn id="2" xr3:uid="{13EB2BFC-B72F-41F5-B4D8-CE9D55AFE367}" uniqueName="2" name="Data_Ksiegowania" queryTableFieldId="2" dataDxfId="2"/>
    <tableColumn id="3" xr3:uid="{A55DB693-6463-41A4-A9FE-8F464A216BC2}" uniqueName="3" name="Kontrahent" queryTableFieldId="3" dataDxfId="1"/>
    <tableColumn id="4" xr3:uid="{E75BA085-3242-43A2-B233-0FA4E60AFED1}" uniqueName="4" name="Nr_Faktury" queryTableFieldId="4" dataDxfId="0"/>
    <tableColumn id="5" xr3:uid="{CA6B5CAB-C934-4664-BFC1-983AE24CFCC7}" uniqueName="5" name="Kwota" queryTableFieldId="5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0E64C12-6591-455F-969C-FF04EAA864E3}" name="Tbl_Reczne_Archiwum" displayName="Tbl_Reczne_Archiwum" ref="A1:I2" tableType="queryTable" totalsRowShown="0">
  <autoFilter ref="A1:I2" xr:uid="{C0E64C12-6591-455F-969C-FF04EAA864E3}"/>
  <tableColumns count="9">
    <tableColumn id="1" xr3:uid="{4D82CF49-691E-48E8-A43D-214867818CEF}" uniqueName="1" name="ID_Wewnetrzne" queryTableFieldId="1"/>
    <tableColumn id="2" xr3:uid="{4A0CB6CC-D800-46ED-B8D3-DF5DC75877A4}" uniqueName="2" name="Data_Ksiegowania" queryTableFieldId="2"/>
    <tableColumn id="3" xr3:uid="{1EF8763A-3792-4CD4-B6C9-D186FD149D73}" uniqueName="3" name="Kontrahent" queryTableFieldId="3"/>
    <tableColumn id="4" xr3:uid="{7D32CE6A-72F9-4364-8C9F-321A1C9B0560}" uniqueName="4" name="Nr_Faktury" queryTableFieldId="4"/>
    <tableColumn id="5" xr3:uid="{26B9EC28-06A8-4899-9F64-1B75677AFA05}" uniqueName="5" name="Kwota" queryTableFieldId="5"/>
    <tableColumn id="6" xr3:uid="{3C5BB034-B022-4526-85C3-34D13ACAD617}" uniqueName="6" name="ID_Transakcji" queryTableFieldId="6"/>
    <tableColumn id="7" xr3:uid="{9C64BCBC-FCDD-49DC-BD73-9B027F336A35}" uniqueName="7" name="Data_Operacji" queryTableFieldId="7"/>
    <tableColumn id="8" xr3:uid="{BED11264-B986-4679-892A-DEABDF8D4D0A}" uniqueName="8" name="Opis_Transakcji" queryTableFieldId="8"/>
    <tableColumn id="9" xr3:uid="{D39F820E-72BB-474A-96CB-8DE988956C7C}" uniqueName="9" name="Kwota_Operacji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ywnaOśCzasu_Data_Operacji" xr10:uid="{15A96653-10D6-4239-9C98-EC7DD997DC14}" sourceName="Data_Operacji">
  <pivotTables>
    <pivotTable tabId="20" name="Tabela przestawna7"/>
  </pivotTables>
  <state minimalRefreshVersion="6" lastRefreshVersion="6" pivotCacheId="1552012315" filterType="unknown">
    <bounds startDate="2026-01-01T00:00:00" endDate="2027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ywnaOśCzasu_Data_Ksiegowania" xr10:uid="{3F8C2A70-18C2-48EA-B054-B498D15E45D1}" sourceName="Data_Ksiegowania">
  <pivotTables>
    <pivotTable tabId="20" name="Tabela przestawna8"/>
  </pivotTables>
  <state minimalRefreshVersion="6" lastRefreshVersion="6" pivotCacheId="1063659046" filterType="unknown">
    <bounds startDate="2026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_Operacji" xr10:uid="{3AE6F07E-6919-4136-8E25-86D493012978}" cache="NatywnaOśCzasu_Data_Operacji" caption="Data_Operacji" level="2" selectionLevel="2" scrollPosition="2026-02-16T00:00:00" style="TimeSlicerStyleLight6"/>
  <timeline name="Data_Ksiegowania" xr10:uid="{9EDEADF4-AC3E-402B-9AC3-EBB9BC07A9B5}" cache="NatywnaOśCzasu_Data_Ksiegowania" caption="Data_Ksiegowania" level="2" selectionLevel="2" scrollPosition="2026-05-09T00:00:00" style="TimeSlicerStyleLight5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26E22-9F50-4CF8-BEFD-2D9498326491}">
  <sheetPr codeName="Arkusz1"/>
  <dimension ref="B3:I33"/>
  <sheetViews>
    <sheetView showGridLines="0" showRowColHeaders="0" zoomScale="85" zoomScaleNormal="85" workbookViewId="0">
      <selection activeCell="B6" sqref="B6"/>
    </sheetView>
  </sheetViews>
  <sheetFormatPr defaultRowHeight="14.4" x14ac:dyDescent="0.3"/>
  <cols>
    <col min="2" max="2" width="20.6640625" customWidth="1"/>
    <col min="3" max="3" width="34.33203125" bestFit="1" customWidth="1"/>
    <col min="4" max="4" width="7.21875" bestFit="1" customWidth="1"/>
    <col min="5" max="5" width="33.21875" bestFit="1" customWidth="1"/>
    <col min="6" max="6" width="17.21875" bestFit="1" customWidth="1"/>
    <col min="7" max="7" width="13.44140625" bestFit="1" customWidth="1"/>
    <col min="8" max="8" width="12.6640625" bestFit="1" customWidth="1"/>
    <col min="9" max="9" width="12.88671875" bestFit="1" customWidth="1"/>
    <col min="10" max="10" width="15.44140625" bestFit="1" customWidth="1"/>
    <col min="11" max="11" width="13.5546875" bestFit="1" customWidth="1"/>
    <col min="12" max="12" width="18.88671875" bestFit="1" customWidth="1"/>
    <col min="13" max="13" width="22.44140625" bestFit="1" customWidth="1"/>
    <col min="14" max="14" width="20.21875" bestFit="1" customWidth="1"/>
    <col min="15" max="15" width="23.77734375" bestFit="1" customWidth="1"/>
    <col min="16" max="16" width="17.109375" bestFit="1" customWidth="1"/>
    <col min="17" max="17" width="20.6640625" bestFit="1" customWidth="1"/>
    <col min="18" max="18" width="13.5546875" bestFit="1" customWidth="1"/>
    <col min="19" max="19" width="20.6640625" bestFit="1" customWidth="1"/>
    <col min="20" max="20" width="15.33203125" bestFit="1" customWidth="1"/>
    <col min="21" max="21" width="13.5546875" bestFit="1" customWidth="1"/>
  </cols>
  <sheetData>
    <row r="3" spans="2:9" x14ac:dyDescent="0.3">
      <c r="G3" t="s">
        <v>130</v>
      </c>
      <c r="H3" t="s">
        <v>131</v>
      </c>
      <c r="I3" t="s">
        <v>4</v>
      </c>
    </row>
    <row r="4" spans="2:9" x14ac:dyDescent="0.3">
      <c r="G4">
        <v>1</v>
      </c>
      <c r="H4" t="s">
        <v>132</v>
      </c>
      <c r="I4" s="3">
        <f>SUM(Wyciag_Bankowy_Full_csv[Kwota_Operacji])</f>
        <v>-2076.1999999999998</v>
      </c>
    </row>
    <row r="5" spans="2:9" x14ac:dyDescent="0.3">
      <c r="G5">
        <v>2</v>
      </c>
      <c r="H5" t="s">
        <v>180</v>
      </c>
      <c r="I5" s="3">
        <f>calc!E2</f>
        <v>-7600</v>
      </c>
    </row>
    <row r="6" spans="2:9" x14ac:dyDescent="0.3">
      <c r="G6">
        <v>3</v>
      </c>
      <c r="H6" t="s">
        <v>181</v>
      </c>
      <c r="I6" s="3">
        <f>calc!E3</f>
        <v>2213.5</v>
      </c>
    </row>
    <row r="7" spans="2:9" x14ac:dyDescent="0.3">
      <c r="G7">
        <v>4</v>
      </c>
      <c r="H7" t="s">
        <v>182</v>
      </c>
      <c r="I7" s="3">
        <f>SUM(Matched!E:E)-SUM(Matched!I:I)</f>
        <v>0</v>
      </c>
    </row>
    <row r="8" spans="2:9" x14ac:dyDescent="0.3">
      <c r="G8">
        <v>5</v>
      </c>
      <c r="H8" t="s">
        <v>133</v>
      </c>
      <c r="I8" s="3">
        <f>I4+I5-I6+I7</f>
        <v>-11889.7</v>
      </c>
    </row>
    <row r="9" spans="2:9" x14ac:dyDescent="0.3">
      <c r="G9">
        <v>6</v>
      </c>
      <c r="H9" t="s">
        <v>134</v>
      </c>
      <c r="I9" s="3">
        <f>SUM(Ewidencja_Ksiegowa_Full_csv[Kwota])</f>
        <v>-11889.7</v>
      </c>
    </row>
    <row r="10" spans="2:9" x14ac:dyDescent="0.3">
      <c r="G10">
        <v>7</v>
      </c>
      <c r="H10" t="s">
        <v>135</v>
      </c>
      <c r="I10" s="3">
        <f>I8-I9</f>
        <v>0</v>
      </c>
    </row>
    <row r="11" spans="2:9" x14ac:dyDescent="0.3">
      <c r="G11" s="8" t="s">
        <v>183</v>
      </c>
    </row>
    <row r="14" spans="2:9" x14ac:dyDescent="0.3">
      <c r="B14" s="6" t="s">
        <v>178</v>
      </c>
      <c r="F14" s="6" t="s">
        <v>179</v>
      </c>
    </row>
    <row r="15" spans="2:9" x14ac:dyDescent="0.3">
      <c r="B15" s="4" t="s">
        <v>70</v>
      </c>
      <c r="C15" s="4" t="s">
        <v>71</v>
      </c>
      <c r="D15" t="s">
        <v>4</v>
      </c>
      <c r="F15" s="4" t="s">
        <v>1</v>
      </c>
      <c r="G15" s="4" t="s">
        <v>2</v>
      </c>
      <c r="H15" s="4" t="s">
        <v>3</v>
      </c>
      <c r="I15" t="s">
        <v>140</v>
      </c>
    </row>
    <row r="16" spans="2:9" x14ac:dyDescent="0.3">
      <c r="B16" s="1">
        <v>46079</v>
      </c>
      <c r="C16" t="s">
        <v>127</v>
      </c>
      <c r="D16">
        <v>1250.8</v>
      </c>
      <c r="F16" s="1">
        <v>46078</v>
      </c>
      <c r="G16" t="s">
        <v>16</v>
      </c>
      <c r="H16" t="s">
        <v>102</v>
      </c>
      <c r="I16">
        <v>1250</v>
      </c>
    </row>
    <row r="17" spans="2:9" x14ac:dyDescent="0.3">
      <c r="B17" s="1">
        <v>46080</v>
      </c>
      <c r="C17" t="s">
        <v>93</v>
      </c>
      <c r="D17">
        <v>5.2</v>
      </c>
      <c r="F17" s="1">
        <v>46078</v>
      </c>
      <c r="G17" t="s">
        <v>54</v>
      </c>
      <c r="H17" t="s">
        <v>119</v>
      </c>
      <c r="I17">
        <v>3200</v>
      </c>
    </row>
    <row r="18" spans="2:9" x14ac:dyDescent="0.3">
      <c r="B18" s="1">
        <v>46080</v>
      </c>
      <c r="C18" t="s">
        <v>92</v>
      </c>
      <c r="D18">
        <v>-25</v>
      </c>
      <c r="F18" s="1">
        <v>46079</v>
      </c>
      <c r="G18" t="s">
        <v>58</v>
      </c>
      <c r="H18" t="s">
        <v>61</v>
      </c>
      <c r="I18">
        <v>-4800</v>
      </c>
    </row>
    <row r="19" spans="2:9" x14ac:dyDescent="0.3">
      <c r="B19" s="1">
        <v>46080</v>
      </c>
      <c r="C19" t="s">
        <v>129</v>
      </c>
      <c r="D19">
        <v>-10</v>
      </c>
      <c r="F19" s="1">
        <v>46080</v>
      </c>
      <c r="G19" t="s">
        <v>65</v>
      </c>
      <c r="H19" t="s">
        <v>121</v>
      </c>
      <c r="I19">
        <v>150</v>
      </c>
    </row>
    <row r="20" spans="2:9" x14ac:dyDescent="0.3">
      <c r="B20" s="1">
        <v>46081</v>
      </c>
      <c r="C20" t="s">
        <v>97</v>
      </c>
      <c r="D20">
        <v>-150</v>
      </c>
      <c r="F20" s="1">
        <v>46081</v>
      </c>
      <c r="G20" t="s">
        <v>67</v>
      </c>
      <c r="H20" t="s">
        <v>122</v>
      </c>
      <c r="I20">
        <v>-1850</v>
      </c>
    </row>
    <row r="21" spans="2:9" x14ac:dyDescent="0.3">
      <c r="B21" s="1">
        <v>46081</v>
      </c>
      <c r="C21" t="s">
        <v>94</v>
      </c>
      <c r="D21">
        <v>-45</v>
      </c>
      <c r="F21" s="1">
        <v>46081</v>
      </c>
      <c r="G21" t="s">
        <v>20</v>
      </c>
      <c r="H21" t="s">
        <v>104</v>
      </c>
      <c r="I21">
        <v>-350</v>
      </c>
    </row>
    <row r="22" spans="2:9" x14ac:dyDescent="0.3">
      <c r="B22" s="1">
        <v>46081</v>
      </c>
      <c r="C22" t="s">
        <v>95</v>
      </c>
      <c r="D22">
        <v>-12.5</v>
      </c>
      <c r="F22" s="1">
        <v>46081</v>
      </c>
      <c r="G22" t="s">
        <v>69</v>
      </c>
      <c r="H22" t="s">
        <v>123</v>
      </c>
      <c r="I22">
        <v>-200</v>
      </c>
    </row>
    <row r="23" spans="2:9" x14ac:dyDescent="0.3">
      <c r="B23" s="1">
        <v>46081</v>
      </c>
      <c r="C23" t="s">
        <v>96</v>
      </c>
      <c r="D23">
        <v>1200</v>
      </c>
      <c r="F23" s="1">
        <v>46081</v>
      </c>
      <c r="G23" t="s">
        <v>18</v>
      </c>
      <c r="H23" t="s">
        <v>103</v>
      </c>
      <c r="I23">
        <v>-5000</v>
      </c>
    </row>
    <row r="33" spans="2:6" x14ac:dyDescent="0.3">
      <c r="B33" s="5" t="s">
        <v>141</v>
      </c>
      <c r="F33" s="5" t="s">
        <v>141</v>
      </c>
    </row>
  </sheetData>
  <sheetProtection algorithmName="SHA-512" hashValue="HodTE5aCjkVDe3qOcgdRCnVr7NOyApKpwwCR1DqE5EIalv/8iG08YFNstq25Bu/NU43xdYRuG5jQ8ZiRx/a5xA==" saltValue="V3uQipjgQTmuM9C1RIZdRg==" spinCount="100000" sheet="1" objects="1" scenarios="1" selectLockedCells="1" sort="0" autoFilter="0" pivotTables="0"/>
  <hyperlinks>
    <hyperlink ref="B33" location="'Wyciąg_Unmatched'!A1" display="Zobacz wszystkie niewyjaśnione pozycje" xr:uid="{E9A989EA-DAE3-494D-AD5B-BFB4255CA638}"/>
    <hyperlink ref="F33" location="Ewidencja_Unmatched!A1" display="Zobacz wszystkie niewyjaśnione pozycje" xr:uid="{DBCB972E-BF9A-4250-9564-474C752F5D86}"/>
    <hyperlink ref="G11" location="Matched!A1" display="Zobacz wszystkie uzgodnione pozycje" xr:uid="{923CDEFF-C11E-458C-ABC7-4060EF0FF648}"/>
  </hyperlinks>
  <pageMargins left="0.7" right="0.7" top="0.75" bottom="0.75" header="0.3" footer="0.3"/>
  <drawing r:id="rId3"/>
  <tableParts count="1">
    <tablePart r:id="rId4"/>
  </tableParts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50D4B-0268-46EF-8C7E-586F9120709F}">
  <sheetPr codeName="Arkusz2"/>
  <dimension ref="B5:J14"/>
  <sheetViews>
    <sheetView showGridLines="0" showRowColHeaders="0" tabSelected="1" zoomScale="115" zoomScaleNormal="115" workbookViewId="0">
      <selection activeCell="G6" sqref="G6"/>
    </sheetView>
  </sheetViews>
  <sheetFormatPr defaultRowHeight="14.4" x14ac:dyDescent="0.3"/>
  <cols>
    <col min="1" max="1" width="8.88671875" customWidth="1"/>
    <col min="2" max="2" width="18.109375" customWidth="1"/>
    <col min="3" max="3" width="16.109375" style="1" bestFit="1" customWidth="1"/>
    <col min="4" max="4" width="10.109375" bestFit="1" customWidth="1"/>
    <col min="5" max="5" width="10" bestFit="1" customWidth="1"/>
    <col min="6" max="6" width="7.109375" customWidth="1"/>
    <col min="7" max="7" width="16.5546875" customWidth="1"/>
    <col min="8" max="8" width="12.88671875" bestFit="1" customWidth="1"/>
    <col min="9" max="9" width="14.33203125" bestFit="1" customWidth="1"/>
    <col min="10" max="10" width="14.21875" bestFit="1" customWidth="1"/>
  </cols>
  <sheetData>
    <row r="5" spans="2:10" x14ac:dyDescent="0.3">
      <c r="B5" s="10" t="s">
        <v>0</v>
      </c>
      <c r="C5" s="11" t="s">
        <v>1</v>
      </c>
      <c r="D5" s="11" t="s">
        <v>2</v>
      </c>
      <c r="E5" s="11" t="s">
        <v>3</v>
      </c>
      <c r="F5" s="11" t="s">
        <v>4</v>
      </c>
      <c r="G5" s="11" t="s">
        <v>177</v>
      </c>
      <c r="H5" s="11" t="s">
        <v>70</v>
      </c>
      <c r="I5" s="11" t="s">
        <v>71</v>
      </c>
      <c r="J5" s="12" t="s">
        <v>72</v>
      </c>
    </row>
    <row r="6" spans="2:10" x14ac:dyDescent="0.3">
      <c r="B6" s="13"/>
      <c r="C6" t="str" cm="1">
        <f t="array" ref="C6">IFERROR(_xlfn.XLOOKUP(B6,Ewidencja_Unmatched[ID_Wewnetrzne],Ewidencja_Unmatched[[Data_Ksiegowania]:[Kwota]]),"")</f>
        <v/>
      </c>
      <c r="G6" s="7"/>
      <c r="H6" t="str" cm="1">
        <f t="array" ref="H6">IFERROR(_xlfn.XLOOKUP(G6,Wyciąg_Unmatched[[#All],[ID_Transakcji]],Wyciąg_Unmatched[[#All],[Data_Operacji]:[Kwota_Operacji]]),"")</f>
        <v/>
      </c>
    </row>
    <row r="14" spans="2:10" x14ac:dyDescent="0.3">
      <c r="D14" s="9"/>
    </row>
  </sheetData>
  <sheetProtection algorithmName="SHA-512" hashValue="0Q1AJpkxmxl20cJvvgsIvuxKkSUuYa5iKDPDjOfHdKD8tT3TQpDB4YT3hX4yyaANV/264y5jJ1E7BbdfvBduRw==" saltValue="Ayt3OVRG0EUuumqeIHylXA==" spinCount="100000" sheet="1" objects="1" scenarios="1" selectLockedCells="1"/>
  <protectedRanges>
    <protectedRange sqref="G6 B6" name="Rozstęp1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3" name="Button 2">
              <controlPr defaultSize="0" print="0" autoFill="0" autoPict="0" macro="[0]!ZatwierdzIPreniesMatch">
                <anchor moveWithCells="1" sizeWithCells="1">
                  <from>
                    <xdr:col>2</xdr:col>
                    <xdr:colOff>807720</xdr:colOff>
                    <xdr:row>10</xdr:row>
                    <xdr:rowOff>83820</xdr:rowOff>
                  </from>
                  <to>
                    <xdr:col>4</xdr:col>
                    <xdr:colOff>586740</xdr:colOff>
                    <xdr:row>12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CF9C7-7EAB-4AEA-854F-310E5CB9375D}">
  <sheetPr codeName="Arkusz4"/>
  <dimension ref="A1:I25"/>
  <sheetViews>
    <sheetView workbookViewId="0"/>
  </sheetViews>
  <sheetFormatPr defaultRowHeight="14.4" x14ac:dyDescent="0.3"/>
  <cols>
    <col min="1" max="1" width="16.109375" bestFit="1" customWidth="1"/>
    <col min="2" max="2" width="18.33203125" bestFit="1" customWidth="1"/>
    <col min="3" max="3" width="19.88671875" bestFit="1" customWidth="1"/>
    <col min="4" max="4" width="14" bestFit="1" customWidth="1"/>
    <col min="5" max="5" width="8.33203125" bestFit="1" customWidth="1"/>
    <col min="6" max="6" width="14.33203125" bestFit="1" customWidth="1"/>
    <col min="7" max="7" width="15.109375" bestFit="1" customWidth="1"/>
    <col min="8" max="8" width="24.77734375" bestFit="1" customWidth="1"/>
    <col min="9" max="9" width="16.44140625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177</v>
      </c>
      <c r="G1" t="s">
        <v>70</v>
      </c>
      <c r="H1" t="s">
        <v>71</v>
      </c>
      <c r="I1" t="s">
        <v>72</v>
      </c>
    </row>
    <row r="2" spans="1:9" x14ac:dyDescent="0.3">
      <c r="A2" t="s">
        <v>9</v>
      </c>
      <c r="B2">
        <v>46063</v>
      </c>
      <c r="C2" t="s">
        <v>10</v>
      </c>
      <c r="D2" t="s">
        <v>74</v>
      </c>
      <c r="E2">
        <v>-2200</v>
      </c>
      <c r="F2" t="s">
        <v>147</v>
      </c>
      <c r="G2">
        <v>46064</v>
      </c>
      <c r="H2" t="s">
        <v>74</v>
      </c>
      <c r="I2">
        <v>-2200</v>
      </c>
    </row>
    <row r="3" spans="1:9" x14ac:dyDescent="0.3">
      <c r="A3" t="s">
        <v>47</v>
      </c>
      <c r="B3">
        <v>46075</v>
      </c>
      <c r="C3" t="s">
        <v>48</v>
      </c>
      <c r="D3" t="s">
        <v>87</v>
      </c>
      <c r="E3">
        <v>-1200</v>
      </c>
      <c r="F3" t="s">
        <v>164</v>
      </c>
      <c r="G3">
        <v>46076</v>
      </c>
      <c r="H3" t="s">
        <v>87</v>
      </c>
      <c r="I3">
        <v>-1200</v>
      </c>
    </row>
    <row r="4" spans="1:9" x14ac:dyDescent="0.3">
      <c r="A4" t="s">
        <v>51</v>
      </c>
      <c r="B4">
        <v>46077</v>
      </c>
      <c r="C4" t="s">
        <v>52</v>
      </c>
      <c r="D4" t="s">
        <v>89</v>
      </c>
      <c r="E4">
        <v>-99</v>
      </c>
      <c r="F4" t="s">
        <v>166</v>
      </c>
      <c r="G4">
        <v>46078</v>
      </c>
      <c r="H4" t="s">
        <v>89</v>
      </c>
      <c r="I4">
        <v>-99</v>
      </c>
    </row>
    <row r="5" spans="1:9" x14ac:dyDescent="0.3">
      <c r="A5" t="s">
        <v>55</v>
      </c>
      <c r="B5">
        <v>46079</v>
      </c>
      <c r="C5" t="s">
        <v>56</v>
      </c>
      <c r="D5" t="s">
        <v>90</v>
      </c>
      <c r="E5">
        <v>-400</v>
      </c>
      <c r="F5" t="s">
        <v>167</v>
      </c>
      <c r="G5">
        <v>46079</v>
      </c>
      <c r="H5" t="s">
        <v>90</v>
      </c>
      <c r="I5">
        <v>-400</v>
      </c>
    </row>
    <row r="6" spans="1:9" x14ac:dyDescent="0.3">
      <c r="A6" t="s">
        <v>62</v>
      </c>
      <c r="B6">
        <v>46080</v>
      </c>
      <c r="C6" t="s">
        <v>63</v>
      </c>
      <c r="D6" t="s">
        <v>120</v>
      </c>
      <c r="E6">
        <v>700</v>
      </c>
      <c r="F6" t="s">
        <v>172</v>
      </c>
      <c r="G6">
        <v>46081</v>
      </c>
      <c r="H6" t="s">
        <v>120</v>
      </c>
      <c r="I6">
        <v>700</v>
      </c>
    </row>
    <row r="7" spans="1:9" x14ac:dyDescent="0.3">
      <c r="A7" t="s">
        <v>13</v>
      </c>
      <c r="B7">
        <v>46073</v>
      </c>
      <c r="C7" t="s">
        <v>14</v>
      </c>
      <c r="D7" t="s">
        <v>101</v>
      </c>
      <c r="E7">
        <v>3000</v>
      </c>
      <c r="F7" t="s">
        <v>149</v>
      </c>
      <c r="G7">
        <v>46074</v>
      </c>
      <c r="H7" t="s">
        <v>126</v>
      </c>
      <c r="I7">
        <v>3000</v>
      </c>
    </row>
    <row r="8" spans="1:9" x14ac:dyDescent="0.3">
      <c r="A8" t="s">
        <v>5</v>
      </c>
      <c r="B8">
        <v>46054</v>
      </c>
      <c r="C8" t="s">
        <v>6</v>
      </c>
      <c r="D8" t="s">
        <v>98</v>
      </c>
      <c r="E8">
        <v>-1500</v>
      </c>
      <c r="F8" t="s">
        <v>145</v>
      </c>
      <c r="G8">
        <v>46055</v>
      </c>
      <c r="H8" t="s">
        <v>124</v>
      </c>
      <c r="I8">
        <v>-1500</v>
      </c>
    </row>
    <row r="9" spans="1:9" x14ac:dyDescent="0.3">
      <c r="A9" t="s">
        <v>25</v>
      </c>
      <c r="B9">
        <v>46057</v>
      </c>
      <c r="C9" t="s">
        <v>26</v>
      </c>
      <c r="D9" t="s">
        <v>107</v>
      </c>
      <c r="E9">
        <v>-300</v>
      </c>
      <c r="F9" t="s">
        <v>153</v>
      </c>
      <c r="G9">
        <v>46058</v>
      </c>
      <c r="H9" t="s">
        <v>77</v>
      </c>
      <c r="I9">
        <v>-300</v>
      </c>
    </row>
    <row r="10" spans="1:9" x14ac:dyDescent="0.3">
      <c r="A10" t="s">
        <v>27</v>
      </c>
      <c r="B10">
        <v>46060</v>
      </c>
      <c r="C10" t="s">
        <v>28</v>
      </c>
      <c r="D10" t="s">
        <v>108</v>
      </c>
      <c r="E10">
        <v>-120</v>
      </c>
      <c r="F10" t="s">
        <v>154</v>
      </c>
      <c r="G10">
        <v>46060</v>
      </c>
      <c r="H10" t="s">
        <v>78</v>
      </c>
      <c r="I10">
        <v>-120</v>
      </c>
    </row>
    <row r="11" spans="1:9" x14ac:dyDescent="0.3">
      <c r="A11" t="s">
        <v>29</v>
      </c>
      <c r="B11">
        <v>46061</v>
      </c>
      <c r="C11" t="s">
        <v>30</v>
      </c>
      <c r="D11" t="s">
        <v>109</v>
      </c>
      <c r="E11">
        <v>1100</v>
      </c>
      <c r="F11" t="s">
        <v>155</v>
      </c>
      <c r="G11">
        <v>46062</v>
      </c>
      <c r="H11" t="s">
        <v>79</v>
      </c>
      <c r="I11">
        <v>1100</v>
      </c>
    </row>
    <row r="12" spans="1:9" x14ac:dyDescent="0.3">
      <c r="A12" t="s">
        <v>41</v>
      </c>
      <c r="B12">
        <v>46071</v>
      </c>
      <c r="C12" t="s">
        <v>42</v>
      </c>
      <c r="D12" t="s">
        <v>115</v>
      </c>
      <c r="E12">
        <v>2100</v>
      </c>
      <c r="F12" t="s">
        <v>161</v>
      </c>
      <c r="G12">
        <v>46072</v>
      </c>
      <c r="H12" t="s">
        <v>84</v>
      </c>
      <c r="I12">
        <v>2100</v>
      </c>
    </row>
    <row r="13" spans="1:9" x14ac:dyDescent="0.3">
      <c r="A13" t="s">
        <v>43</v>
      </c>
      <c r="B13">
        <v>46072</v>
      </c>
      <c r="C13" t="s">
        <v>44</v>
      </c>
      <c r="D13" t="s">
        <v>116</v>
      </c>
      <c r="E13">
        <v>-250</v>
      </c>
      <c r="F13" t="s">
        <v>162</v>
      </c>
      <c r="G13">
        <v>46073</v>
      </c>
      <c r="H13" t="s">
        <v>85</v>
      </c>
      <c r="I13">
        <v>-250</v>
      </c>
    </row>
    <row r="14" spans="1:9" x14ac:dyDescent="0.3">
      <c r="A14" t="s">
        <v>37</v>
      </c>
      <c r="B14">
        <v>46069</v>
      </c>
      <c r="C14" t="s">
        <v>38</v>
      </c>
      <c r="D14" t="s">
        <v>113</v>
      </c>
      <c r="E14">
        <v>-50</v>
      </c>
      <c r="F14" t="s">
        <v>159</v>
      </c>
      <c r="G14">
        <v>46070</v>
      </c>
      <c r="H14" t="s">
        <v>82</v>
      </c>
      <c r="I14">
        <v>-50</v>
      </c>
    </row>
    <row r="15" spans="1:9" x14ac:dyDescent="0.3">
      <c r="A15" t="s">
        <v>45</v>
      </c>
      <c r="B15">
        <v>46074</v>
      </c>
      <c r="C15" t="s">
        <v>46</v>
      </c>
      <c r="D15" t="s">
        <v>117</v>
      </c>
      <c r="E15">
        <v>1800</v>
      </c>
      <c r="F15" t="s">
        <v>163</v>
      </c>
      <c r="G15">
        <v>46075</v>
      </c>
      <c r="H15" t="s">
        <v>86</v>
      </c>
      <c r="I15">
        <v>1800</v>
      </c>
    </row>
    <row r="16" spans="1:9" x14ac:dyDescent="0.3">
      <c r="A16" t="s">
        <v>49</v>
      </c>
      <c r="B16">
        <v>46076</v>
      </c>
      <c r="C16" t="s">
        <v>50</v>
      </c>
      <c r="D16" t="s">
        <v>118</v>
      </c>
      <c r="E16">
        <v>550</v>
      </c>
      <c r="F16" t="s">
        <v>165</v>
      </c>
      <c r="G16">
        <v>46077</v>
      </c>
      <c r="H16" t="s">
        <v>88</v>
      </c>
      <c r="I16">
        <v>550</v>
      </c>
    </row>
    <row r="17" spans="1:9" x14ac:dyDescent="0.3">
      <c r="A17" t="s">
        <v>31</v>
      </c>
      <c r="B17">
        <v>46065</v>
      </c>
      <c r="C17" t="s">
        <v>32</v>
      </c>
      <c r="D17" t="s">
        <v>110</v>
      </c>
      <c r="E17">
        <v>-2100</v>
      </c>
      <c r="F17" t="s">
        <v>156</v>
      </c>
      <c r="G17">
        <v>46065</v>
      </c>
      <c r="H17" t="s">
        <v>80</v>
      </c>
      <c r="I17">
        <v>-2100</v>
      </c>
    </row>
    <row r="18" spans="1:9" x14ac:dyDescent="0.3">
      <c r="A18" t="s">
        <v>39</v>
      </c>
      <c r="B18">
        <v>46070</v>
      </c>
      <c r="C18" t="s">
        <v>40</v>
      </c>
      <c r="D18" t="s">
        <v>114</v>
      </c>
      <c r="E18">
        <v>-65.2</v>
      </c>
      <c r="F18" t="s">
        <v>160</v>
      </c>
      <c r="G18">
        <v>46071</v>
      </c>
      <c r="H18" t="s">
        <v>83</v>
      </c>
      <c r="I18">
        <v>-65.2</v>
      </c>
    </row>
    <row r="19" spans="1:9" x14ac:dyDescent="0.3">
      <c r="A19" t="s">
        <v>35</v>
      </c>
      <c r="B19">
        <v>46067</v>
      </c>
      <c r="C19" t="s">
        <v>36</v>
      </c>
      <c r="D19" t="s">
        <v>112</v>
      </c>
      <c r="E19">
        <v>900</v>
      </c>
      <c r="F19" t="s">
        <v>158</v>
      </c>
      <c r="G19">
        <v>46068</v>
      </c>
      <c r="H19" t="s">
        <v>128</v>
      </c>
      <c r="I19">
        <v>900</v>
      </c>
    </row>
    <row r="20" spans="1:9" x14ac:dyDescent="0.3">
      <c r="A20" t="s">
        <v>7</v>
      </c>
      <c r="B20">
        <v>46058</v>
      </c>
      <c r="C20" t="s">
        <v>8</v>
      </c>
      <c r="D20" t="s">
        <v>99</v>
      </c>
      <c r="E20">
        <v>-450</v>
      </c>
      <c r="F20" t="s">
        <v>146</v>
      </c>
      <c r="G20">
        <v>46059</v>
      </c>
      <c r="H20" t="s">
        <v>73</v>
      </c>
      <c r="I20">
        <v>-450</v>
      </c>
    </row>
    <row r="21" spans="1:9" x14ac:dyDescent="0.3">
      <c r="A21" t="s">
        <v>11</v>
      </c>
      <c r="B21">
        <v>46068</v>
      </c>
      <c r="C21" t="s">
        <v>12</v>
      </c>
      <c r="D21" t="s">
        <v>100</v>
      </c>
      <c r="E21">
        <v>-120.5</v>
      </c>
      <c r="F21" t="s">
        <v>148</v>
      </c>
      <c r="G21">
        <v>46069</v>
      </c>
      <c r="H21" t="s">
        <v>125</v>
      </c>
      <c r="I21">
        <v>-120.5</v>
      </c>
    </row>
    <row r="22" spans="1:9" x14ac:dyDescent="0.3">
      <c r="A22" t="s">
        <v>21</v>
      </c>
      <c r="B22">
        <v>46055</v>
      </c>
      <c r="C22" t="s">
        <v>22</v>
      </c>
      <c r="D22" t="s">
        <v>105</v>
      </c>
      <c r="E22">
        <v>-85</v>
      </c>
      <c r="F22" t="s">
        <v>151</v>
      </c>
      <c r="G22">
        <v>46055</v>
      </c>
      <c r="H22" t="s">
        <v>75</v>
      </c>
      <c r="I22">
        <v>-85</v>
      </c>
    </row>
    <row r="23" spans="1:9" x14ac:dyDescent="0.3">
      <c r="A23" t="s">
        <v>23</v>
      </c>
      <c r="B23">
        <v>46056</v>
      </c>
      <c r="C23" t="s">
        <v>24</v>
      </c>
      <c r="D23" t="s">
        <v>106</v>
      </c>
      <c r="E23">
        <v>4500</v>
      </c>
      <c r="F23" t="s">
        <v>152</v>
      </c>
      <c r="G23">
        <v>46057</v>
      </c>
      <c r="H23" t="s">
        <v>76</v>
      </c>
      <c r="I23">
        <v>4500</v>
      </c>
    </row>
    <row r="24" spans="1:9" x14ac:dyDescent="0.3">
      <c r="A24" t="s">
        <v>33</v>
      </c>
      <c r="B24">
        <v>46066</v>
      </c>
      <c r="C24" t="s">
        <v>34</v>
      </c>
      <c r="D24" t="s">
        <v>111</v>
      </c>
      <c r="E24">
        <v>-4500</v>
      </c>
      <c r="F24" t="s">
        <v>157</v>
      </c>
      <c r="G24">
        <v>46067</v>
      </c>
      <c r="H24" t="s">
        <v>81</v>
      </c>
      <c r="I24">
        <v>-4500</v>
      </c>
    </row>
    <row r="25" spans="1:9" x14ac:dyDescent="0.3">
      <c r="A25" t="s">
        <v>57</v>
      </c>
      <c r="B25">
        <v>46079</v>
      </c>
      <c r="C25" t="s">
        <v>58</v>
      </c>
      <c r="D25" t="s">
        <v>59</v>
      </c>
      <c r="E25">
        <v>-5500</v>
      </c>
      <c r="F25" t="s">
        <v>168</v>
      </c>
      <c r="G25">
        <v>46080</v>
      </c>
      <c r="H25" t="s">
        <v>91</v>
      </c>
      <c r="I25">
        <v>-5500</v>
      </c>
    </row>
  </sheetData>
  <sheetProtection algorithmName="SHA-512" hashValue="p5NmBSaIeJ38korlxHxWX2DGAdfFZr8vTppF3mBRY173Knj/lV/KKPEDVp+Mc0L9xsAij8EqgHxtULFakM9j6Q==" saltValue="y7B5um3I/VYs0Z+9SoRoVw==" spinCount="100000" sheet="1" objects="1" scenarios="1" sort="0" autoFilter="0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1124E-2D23-49EA-90A0-3EB5BDD03129}">
  <sheetPr codeName="Arkusz6"/>
  <dimension ref="A1:F9"/>
  <sheetViews>
    <sheetView zoomScale="115" zoomScaleNormal="115" workbookViewId="0"/>
  </sheetViews>
  <sheetFormatPr defaultRowHeight="14.4" x14ac:dyDescent="0.3"/>
  <cols>
    <col min="1" max="1" width="16.21875" bestFit="1" customWidth="1"/>
    <col min="2" max="2" width="18.33203125" bestFit="1" customWidth="1"/>
    <col min="3" max="3" width="13.33203125" bestFit="1" customWidth="1"/>
    <col min="4" max="4" width="12.21875" bestFit="1" customWidth="1"/>
    <col min="5" max="5" width="8.33203125" bestFit="1" customWidth="1"/>
    <col min="6" max="6" width="20.44140625" bestFit="1" customWidth="1"/>
    <col min="7" max="7" width="19.554687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136</v>
      </c>
    </row>
    <row r="2" spans="1:6" x14ac:dyDescent="0.3">
      <c r="A2" t="s">
        <v>15</v>
      </c>
      <c r="B2" s="1">
        <v>46078</v>
      </c>
      <c r="C2" t="s">
        <v>16</v>
      </c>
      <c r="D2" t="s">
        <v>102</v>
      </c>
      <c r="E2">
        <v>1250</v>
      </c>
      <c r="F2" t="s">
        <v>137</v>
      </c>
    </row>
    <row r="3" spans="1:6" x14ac:dyDescent="0.3">
      <c r="A3" t="s">
        <v>17</v>
      </c>
      <c r="B3" s="1">
        <v>46081</v>
      </c>
      <c r="C3" t="s">
        <v>18</v>
      </c>
      <c r="D3" t="s">
        <v>103</v>
      </c>
      <c r="E3">
        <v>-5000</v>
      </c>
      <c r="F3" t="s">
        <v>138</v>
      </c>
    </row>
    <row r="4" spans="1:6" x14ac:dyDescent="0.3">
      <c r="A4" t="s">
        <v>19</v>
      </c>
      <c r="B4" s="1">
        <v>46081</v>
      </c>
      <c r="C4" t="s">
        <v>20</v>
      </c>
      <c r="D4" t="s">
        <v>104</v>
      </c>
      <c r="E4">
        <v>-350</v>
      </c>
      <c r="F4" t="s">
        <v>138</v>
      </c>
    </row>
    <row r="5" spans="1:6" x14ac:dyDescent="0.3">
      <c r="A5" t="s">
        <v>53</v>
      </c>
      <c r="B5" s="1">
        <v>46078</v>
      </c>
      <c r="C5" t="s">
        <v>54</v>
      </c>
      <c r="D5" t="s">
        <v>119</v>
      </c>
      <c r="E5">
        <v>3200</v>
      </c>
      <c r="F5" t="s">
        <v>137</v>
      </c>
    </row>
    <row r="6" spans="1:6" x14ac:dyDescent="0.3">
      <c r="A6" t="s">
        <v>60</v>
      </c>
      <c r="B6" s="1">
        <v>46079</v>
      </c>
      <c r="C6" t="s">
        <v>58</v>
      </c>
      <c r="D6" t="s">
        <v>61</v>
      </c>
      <c r="E6">
        <v>-4800</v>
      </c>
      <c r="F6" t="s">
        <v>138</v>
      </c>
    </row>
    <row r="7" spans="1:6" x14ac:dyDescent="0.3">
      <c r="A7" t="s">
        <v>64</v>
      </c>
      <c r="B7" s="1">
        <v>46080</v>
      </c>
      <c r="C7" t="s">
        <v>65</v>
      </c>
      <c r="D7" t="s">
        <v>121</v>
      </c>
      <c r="E7">
        <v>150</v>
      </c>
      <c r="F7" t="s">
        <v>139</v>
      </c>
    </row>
    <row r="8" spans="1:6" x14ac:dyDescent="0.3">
      <c r="A8" t="s">
        <v>66</v>
      </c>
      <c r="B8" s="1">
        <v>46081</v>
      </c>
      <c r="C8" t="s">
        <v>67</v>
      </c>
      <c r="D8" t="s">
        <v>122</v>
      </c>
      <c r="E8">
        <v>-1850</v>
      </c>
      <c r="F8" t="s">
        <v>138</v>
      </c>
    </row>
    <row r="9" spans="1:6" x14ac:dyDescent="0.3">
      <c r="A9" t="s">
        <v>68</v>
      </c>
      <c r="B9" s="1">
        <v>46081</v>
      </c>
      <c r="C9" t="s">
        <v>69</v>
      </c>
      <c r="D9" t="s">
        <v>123</v>
      </c>
      <c r="E9">
        <v>-200</v>
      </c>
      <c r="F9" t="s">
        <v>138</v>
      </c>
    </row>
  </sheetData>
  <sheetProtection algorithmName="SHA-512" hashValue="yyNu+nWmGF56oW9oCL6Pzt23G0x6s2LvU0TjxvtWNIOd2KXaxQ4la/krThFMM/6GaJ56zZ+4iBb10fDfCYUEHA==" saltValue="0vWsQQSGlcA4ziT2zx5lhw==" spinCount="100000" sheet="1" objects="1" scenarios="1" sort="0" autoFilter="0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A3398-432D-4EB5-9F6A-0AD6713CA1E3}">
  <sheetPr codeName="Arkusz5"/>
  <dimension ref="A1:E9"/>
  <sheetViews>
    <sheetView zoomScale="115" zoomScaleNormal="115" workbookViewId="0"/>
  </sheetViews>
  <sheetFormatPr defaultRowHeight="14.4" x14ac:dyDescent="0.3"/>
  <cols>
    <col min="1" max="1" width="14.33203125" bestFit="1" customWidth="1"/>
    <col min="2" max="2" width="15.109375" bestFit="1" customWidth="1"/>
    <col min="3" max="3" width="33.109375" bestFit="1" customWidth="1"/>
    <col min="4" max="4" width="16.44140625" bestFit="1" customWidth="1"/>
    <col min="5" max="5" width="20.44140625" bestFit="1" customWidth="1"/>
    <col min="6" max="6" width="19.5546875" customWidth="1"/>
  </cols>
  <sheetData>
    <row r="1" spans="1:5" x14ac:dyDescent="0.3">
      <c r="A1" t="s">
        <v>177</v>
      </c>
      <c r="B1" t="s">
        <v>70</v>
      </c>
      <c r="C1" t="s">
        <v>71</v>
      </c>
      <c r="D1" t="s">
        <v>72</v>
      </c>
      <c r="E1" t="s">
        <v>136</v>
      </c>
    </row>
    <row r="2" spans="1:5" x14ac:dyDescent="0.3">
      <c r="A2" t="s">
        <v>150</v>
      </c>
      <c r="B2" s="1">
        <v>46079</v>
      </c>
      <c r="C2" t="s">
        <v>127</v>
      </c>
      <c r="D2">
        <v>1250.8</v>
      </c>
      <c r="E2" t="s">
        <v>137</v>
      </c>
    </row>
    <row r="3" spans="1:5" x14ac:dyDescent="0.3">
      <c r="A3" t="s">
        <v>169</v>
      </c>
      <c r="B3" s="1">
        <v>46080</v>
      </c>
      <c r="C3" t="s">
        <v>92</v>
      </c>
      <c r="D3">
        <v>-25</v>
      </c>
      <c r="E3" t="s">
        <v>138</v>
      </c>
    </row>
    <row r="4" spans="1:5" x14ac:dyDescent="0.3">
      <c r="A4" t="s">
        <v>170</v>
      </c>
      <c r="B4" s="1">
        <v>46080</v>
      </c>
      <c r="C4" t="s">
        <v>129</v>
      </c>
      <c r="D4">
        <v>-10</v>
      </c>
      <c r="E4" t="s">
        <v>138</v>
      </c>
    </row>
    <row r="5" spans="1:5" x14ac:dyDescent="0.3">
      <c r="A5" t="s">
        <v>171</v>
      </c>
      <c r="B5" s="1">
        <v>46080</v>
      </c>
      <c r="C5" t="s">
        <v>93</v>
      </c>
      <c r="D5">
        <v>5.2</v>
      </c>
      <c r="E5" t="s">
        <v>138</v>
      </c>
    </row>
    <row r="6" spans="1:5" x14ac:dyDescent="0.3">
      <c r="A6" t="s">
        <v>173</v>
      </c>
      <c r="B6" s="1">
        <v>46081</v>
      </c>
      <c r="C6" t="s">
        <v>94</v>
      </c>
      <c r="D6">
        <v>-45</v>
      </c>
      <c r="E6" t="s">
        <v>138</v>
      </c>
    </row>
    <row r="7" spans="1:5" x14ac:dyDescent="0.3">
      <c r="A7" t="s">
        <v>174</v>
      </c>
      <c r="B7" s="1">
        <v>46081</v>
      </c>
      <c r="C7" t="s">
        <v>95</v>
      </c>
      <c r="D7">
        <v>-12.5</v>
      </c>
      <c r="E7" t="s">
        <v>138</v>
      </c>
    </row>
    <row r="8" spans="1:5" x14ac:dyDescent="0.3">
      <c r="A8" t="s">
        <v>175</v>
      </c>
      <c r="B8" s="1">
        <v>46081</v>
      </c>
      <c r="C8" t="s">
        <v>96</v>
      </c>
      <c r="D8">
        <v>1200</v>
      </c>
      <c r="E8" t="s">
        <v>137</v>
      </c>
    </row>
    <row r="9" spans="1:5" x14ac:dyDescent="0.3">
      <c r="A9" t="s">
        <v>176</v>
      </c>
      <c r="B9" s="1">
        <v>46081</v>
      </c>
      <c r="C9" t="s">
        <v>97</v>
      </c>
      <c r="D9">
        <v>-150</v>
      </c>
      <c r="E9" t="s">
        <v>138</v>
      </c>
    </row>
  </sheetData>
  <sheetProtection algorithmName="SHA-512" hashValue="vdCpNN3zcyVgj6BRF8M4c2L8GmoJX4q1rPVVDZOeZkUy2wev2naeLrrux4GcncrhtbG9D2YlKCxMWrKfzul0wA==" saltValue="6bhdVjuc5/rfWSIyR1+ybQ==" spinCount="100000" sheet="1" objects="1" scenarios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79291-2747-4C60-BC5F-1CA4D460BE87}">
  <sheetPr codeName="Arkusz7"/>
  <dimension ref="A1:E8"/>
  <sheetViews>
    <sheetView workbookViewId="0">
      <selection activeCell="D24" sqref="D24"/>
    </sheetView>
  </sheetViews>
  <sheetFormatPr defaultRowHeight="14.4" x14ac:dyDescent="0.3"/>
  <cols>
    <col min="5" max="5" width="11.77734375" bestFit="1" customWidth="1"/>
  </cols>
  <sheetData>
    <row r="1" spans="1:5" x14ac:dyDescent="0.3">
      <c r="A1">
        <f>ROWS(Ewidencja_Unmatched[])</f>
        <v>8</v>
      </c>
      <c r="C1" t="str">
        <f>TEXT(ROWS(Matched[])/ROWS(Ewidencja_Ksiegowa_Full_csv[]),"0%")</f>
        <v>75%</v>
      </c>
      <c r="D1" t="s">
        <v>142</v>
      </c>
    </row>
    <row r="2" spans="1:5" x14ac:dyDescent="0.3">
      <c r="A2">
        <f>ROWS(Wyciąg_Unmatched[])</f>
        <v>8</v>
      </c>
      <c r="D2" t="s">
        <v>143</v>
      </c>
      <c r="E2" s="3">
        <f>SUM(Ewidencja_Unmatched[Kwota])</f>
        <v>-7600</v>
      </c>
    </row>
    <row r="3" spans="1:5" x14ac:dyDescent="0.3">
      <c r="D3" t="s">
        <v>144</v>
      </c>
      <c r="E3" s="3">
        <f>SUM(Wyciąg_Unmatched[Kwota_Operacji])</f>
        <v>2213.5</v>
      </c>
    </row>
    <row r="8" spans="1:5" x14ac:dyDescent="0.3">
      <c r="B8" s="2" cm="1">
        <f t="array" ref="B8">SUM(ABS(Ewidencja_Unmatched[Kwota]))+SUM(ABS(Wyciąg_Unmatched[Kwota_Operacji]))</f>
        <v>19498.5</v>
      </c>
    </row>
  </sheetData>
  <sheetProtection algorithmName="SHA-512" hashValue="u0Je1s1TCksK00i01ZNt9/Zt2hrN1w6CkIyQ7xRxaf4g67BhbrigtyT7yU0WL/13lJ/+SM0ysm98V77HTvUksg==" saltValue="O4iRICo97CAWx1eIa757Ew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3459C-785E-486F-B773-9156E959737F}">
  <sheetPr codeName="Arkusz15"/>
  <dimension ref="A1:D33"/>
  <sheetViews>
    <sheetView workbookViewId="0"/>
  </sheetViews>
  <sheetFormatPr defaultRowHeight="14.4" x14ac:dyDescent="0.3"/>
  <cols>
    <col min="1" max="1" width="14.33203125" bestFit="1" customWidth="1"/>
    <col min="2" max="2" width="15.109375" bestFit="1" customWidth="1"/>
    <col min="3" max="3" width="32.77734375" bestFit="1" customWidth="1"/>
    <col min="4" max="4" width="16.44140625" bestFit="1" customWidth="1"/>
    <col min="5" max="5" width="16.44140625" customWidth="1"/>
  </cols>
  <sheetData>
    <row r="1" spans="1:4" x14ac:dyDescent="0.3">
      <c r="A1" t="s">
        <v>177</v>
      </c>
      <c r="B1" t="s">
        <v>70</v>
      </c>
      <c r="C1" t="s">
        <v>71</v>
      </c>
      <c r="D1" t="s">
        <v>72</v>
      </c>
    </row>
    <row r="2" spans="1:4" x14ac:dyDescent="0.3">
      <c r="A2" t="s">
        <v>145</v>
      </c>
      <c r="B2" s="1">
        <v>46055</v>
      </c>
      <c r="C2" t="s">
        <v>124</v>
      </c>
      <c r="D2">
        <v>-1500</v>
      </c>
    </row>
    <row r="3" spans="1:4" x14ac:dyDescent="0.3">
      <c r="A3" t="s">
        <v>151</v>
      </c>
      <c r="B3" s="1">
        <v>46055</v>
      </c>
      <c r="C3" t="s">
        <v>75</v>
      </c>
      <c r="D3">
        <v>-85</v>
      </c>
    </row>
    <row r="4" spans="1:4" x14ac:dyDescent="0.3">
      <c r="A4" t="s">
        <v>152</v>
      </c>
      <c r="B4" s="1">
        <v>46057</v>
      </c>
      <c r="C4" t="s">
        <v>76</v>
      </c>
      <c r="D4">
        <v>4500</v>
      </c>
    </row>
    <row r="5" spans="1:4" x14ac:dyDescent="0.3">
      <c r="A5" t="s">
        <v>153</v>
      </c>
      <c r="B5" s="1">
        <v>46058</v>
      </c>
      <c r="C5" t="s">
        <v>77</v>
      </c>
      <c r="D5">
        <v>-300</v>
      </c>
    </row>
    <row r="6" spans="1:4" x14ac:dyDescent="0.3">
      <c r="A6" t="s">
        <v>146</v>
      </c>
      <c r="B6" s="1">
        <v>46059</v>
      </c>
      <c r="C6" t="s">
        <v>73</v>
      </c>
      <c r="D6">
        <v>-450</v>
      </c>
    </row>
    <row r="7" spans="1:4" x14ac:dyDescent="0.3">
      <c r="A7" t="s">
        <v>154</v>
      </c>
      <c r="B7" s="1">
        <v>46060</v>
      </c>
      <c r="C7" t="s">
        <v>78</v>
      </c>
      <c r="D7">
        <v>-120</v>
      </c>
    </row>
    <row r="8" spans="1:4" x14ac:dyDescent="0.3">
      <c r="A8" t="s">
        <v>155</v>
      </c>
      <c r="B8" s="1">
        <v>46062</v>
      </c>
      <c r="C8" t="s">
        <v>79</v>
      </c>
      <c r="D8">
        <v>1100</v>
      </c>
    </row>
    <row r="9" spans="1:4" x14ac:dyDescent="0.3">
      <c r="A9" t="s">
        <v>147</v>
      </c>
      <c r="B9" s="1">
        <v>46064</v>
      </c>
      <c r="C9" t="s">
        <v>74</v>
      </c>
      <c r="D9">
        <v>-2200</v>
      </c>
    </row>
    <row r="10" spans="1:4" x14ac:dyDescent="0.3">
      <c r="A10" t="s">
        <v>156</v>
      </c>
      <c r="B10" s="1">
        <v>46065</v>
      </c>
      <c r="C10" t="s">
        <v>80</v>
      </c>
      <c r="D10">
        <v>-2100</v>
      </c>
    </row>
    <row r="11" spans="1:4" x14ac:dyDescent="0.3">
      <c r="A11" t="s">
        <v>157</v>
      </c>
      <c r="B11" s="1">
        <v>46067</v>
      </c>
      <c r="C11" t="s">
        <v>81</v>
      </c>
      <c r="D11">
        <v>-4500</v>
      </c>
    </row>
    <row r="12" spans="1:4" x14ac:dyDescent="0.3">
      <c r="A12" t="s">
        <v>158</v>
      </c>
      <c r="B12" s="1">
        <v>46068</v>
      </c>
      <c r="C12" t="s">
        <v>128</v>
      </c>
      <c r="D12">
        <v>900</v>
      </c>
    </row>
    <row r="13" spans="1:4" x14ac:dyDescent="0.3">
      <c r="A13" t="s">
        <v>148</v>
      </c>
      <c r="B13" s="1">
        <v>46069</v>
      </c>
      <c r="C13" t="s">
        <v>125</v>
      </c>
      <c r="D13">
        <v>-120.5</v>
      </c>
    </row>
    <row r="14" spans="1:4" x14ac:dyDescent="0.3">
      <c r="A14" t="s">
        <v>159</v>
      </c>
      <c r="B14" s="1">
        <v>46070</v>
      </c>
      <c r="C14" t="s">
        <v>82</v>
      </c>
      <c r="D14">
        <v>-50</v>
      </c>
    </row>
    <row r="15" spans="1:4" x14ac:dyDescent="0.3">
      <c r="A15" t="s">
        <v>160</v>
      </c>
      <c r="B15" s="1">
        <v>46071</v>
      </c>
      <c r="C15" t="s">
        <v>83</v>
      </c>
      <c r="D15">
        <v>-65.2</v>
      </c>
    </row>
    <row r="16" spans="1:4" x14ac:dyDescent="0.3">
      <c r="A16" t="s">
        <v>161</v>
      </c>
      <c r="B16" s="1">
        <v>46072</v>
      </c>
      <c r="C16" t="s">
        <v>84</v>
      </c>
      <c r="D16">
        <v>2100</v>
      </c>
    </row>
    <row r="17" spans="1:4" x14ac:dyDescent="0.3">
      <c r="A17" t="s">
        <v>162</v>
      </c>
      <c r="B17" s="1">
        <v>46073</v>
      </c>
      <c r="C17" t="s">
        <v>85</v>
      </c>
      <c r="D17">
        <v>-250</v>
      </c>
    </row>
    <row r="18" spans="1:4" x14ac:dyDescent="0.3">
      <c r="A18" t="s">
        <v>149</v>
      </c>
      <c r="B18" s="1">
        <v>46074</v>
      </c>
      <c r="C18" t="s">
        <v>126</v>
      </c>
      <c r="D18">
        <v>3000</v>
      </c>
    </row>
    <row r="19" spans="1:4" x14ac:dyDescent="0.3">
      <c r="A19" t="s">
        <v>163</v>
      </c>
      <c r="B19" s="1">
        <v>46075</v>
      </c>
      <c r="C19" t="s">
        <v>86</v>
      </c>
      <c r="D19">
        <v>1800</v>
      </c>
    </row>
    <row r="20" spans="1:4" x14ac:dyDescent="0.3">
      <c r="A20" t="s">
        <v>164</v>
      </c>
      <c r="B20" s="1">
        <v>46076</v>
      </c>
      <c r="C20" t="s">
        <v>87</v>
      </c>
      <c r="D20">
        <v>-1200</v>
      </c>
    </row>
    <row r="21" spans="1:4" x14ac:dyDescent="0.3">
      <c r="A21" t="s">
        <v>165</v>
      </c>
      <c r="B21" s="1">
        <v>46077</v>
      </c>
      <c r="C21" t="s">
        <v>88</v>
      </c>
      <c r="D21">
        <v>550</v>
      </c>
    </row>
    <row r="22" spans="1:4" x14ac:dyDescent="0.3">
      <c r="A22" t="s">
        <v>166</v>
      </c>
      <c r="B22" s="1">
        <v>46078</v>
      </c>
      <c r="C22" t="s">
        <v>89</v>
      </c>
      <c r="D22">
        <v>-99</v>
      </c>
    </row>
    <row r="23" spans="1:4" x14ac:dyDescent="0.3">
      <c r="A23" t="s">
        <v>150</v>
      </c>
      <c r="B23" s="1">
        <v>46079</v>
      </c>
      <c r="C23" t="s">
        <v>127</v>
      </c>
      <c r="D23">
        <v>1250.8</v>
      </c>
    </row>
    <row r="24" spans="1:4" x14ac:dyDescent="0.3">
      <c r="A24" t="s">
        <v>167</v>
      </c>
      <c r="B24" s="1">
        <v>46079</v>
      </c>
      <c r="C24" t="s">
        <v>90</v>
      </c>
      <c r="D24">
        <v>-400</v>
      </c>
    </row>
    <row r="25" spans="1:4" x14ac:dyDescent="0.3">
      <c r="A25" t="s">
        <v>168</v>
      </c>
      <c r="B25" s="1">
        <v>46080</v>
      </c>
      <c r="C25" t="s">
        <v>91</v>
      </c>
      <c r="D25">
        <v>-5500</v>
      </c>
    </row>
    <row r="26" spans="1:4" x14ac:dyDescent="0.3">
      <c r="A26" t="s">
        <v>169</v>
      </c>
      <c r="B26" s="1">
        <v>46080</v>
      </c>
      <c r="C26" t="s">
        <v>92</v>
      </c>
      <c r="D26">
        <v>-25</v>
      </c>
    </row>
    <row r="27" spans="1:4" x14ac:dyDescent="0.3">
      <c r="A27" t="s">
        <v>170</v>
      </c>
      <c r="B27" s="1">
        <v>46080</v>
      </c>
      <c r="C27" t="s">
        <v>129</v>
      </c>
      <c r="D27">
        <v>-10</v>
      </c>
    </row>
    <row r="28" spans="1:4" x14ac:dyDescent="0.3">
      <c r="A28" t="s">
        <v>171</v>
      </c>
      <c r="B28" s="1">
        <v>46080</v>
      </c>
      <c r="C28" t="s">
        <v>93</v>
      </c>
      <c r="D28">
        <v>5.2</v>
      </c>
    </row>
    <row r="29" spans="1:4" x14ac:dyDescent="0.3">
      <c r="A29" t="s">
        <v>172</v>
      </c>
      <c r="B29" s="1">
        <v>46081</v>
      </c>
      <c r="C29" t="s">
        <v>120</v>
      </c>
      <c r="D29">
        <v>700</v>
      </c>
    </row>
    <row r="30" spans="1:4" x14ac:dyDescent="0.3">
      <c r="A30" t="s">
        <v>173</v>
      </c>
      <c r="B30" s="1">
        <v>46081</v>
      </c>
      <c r="C30" t="s">
        <v>94</v>
      </c>
      <c r="D30">
        <v>-45</v>
      </c>
    </row>
    <row r="31" spans="1:4" x14ac:dyDescent="0.3">
      <c r="A31" t="s">
        <v>174</v>
      </c>
      <c r="B31" s="1">
        <v>46081</v>
      </c>
      <c r="C31" t="s">
        <v>95</v>
      </c>
      <c r="D31">
        <v>-12.5</v>
      </c>
    </row>
    <row r="32" spans="1:4" x14ac:dyDescent="0.3">
      <c r="A32" t="s">
        <v>175</v>
      </c>
      <c r="B32" s="1">
        <v>46081</v>
      </c>
      <c r="C32" t="s">
        <v>96</v>
      </c>
      <c r="D32">
        <v>1200</v>
      </c>
    </row>
    <row r="33" spans="1:4" x14ac:dyDescent="0.3">
      <c r="A33" t="s">
        <v>176</v>
      </c>
      <c r="B33" s="1">
        <v>46081</v>
      </c>
      <c r="C33" t="s">
        <v>97</v>
      </c>
      <c r="D33">
        <v>-150</v>
      </c>
    </row>
  </sheetData>
  <sheetProtection algorithmName="SHA-512" hashValue="QANtLttXb7rS27GlpgXYr9EgSJ7/QN1SUChS2YU5fbLRFB8mjRc9V/w8puF2uR5hzIS4hjRhLjxL33gI/T54FA==" saltValue="kqJq26AWfOCdn4vVBVPPRA==" spinCount="100000" sheet="1" objects="1" scenarios="1" sort="0" autoFilter="0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B3307-2AD0-4964-984A-403E9A471B6D}">
  <sheetPr codeName="Arkusz9"/>
  <dimension ref="A1:E33"/>
  <sheetViews>
    <sheetView workbookViewId="0"/>
  </sheetViews>
  <sheetFormatPr defaultRowHeight="14.4" x14ac:dyDescent="0.3"/>
  <cols>
    <col min="1" max="1" width="16.109375" bestFit="1" customWidth="1"/>
    <col min="2" max="2" width="18.33203125" bestFit="1" customWidth="1"/>
    <col min="3" max="3" width="19.88671875" bestFit="1" customWidth="1"/>
    <col min="4" max="4" width="14" bestFit="1" customWidth="1"/>
    <col min="5" max="5" width="8.33203125" bestFit="1" customWidth="1"/>
  </cols>
  <sheetData>
    <row r="1" spans="1: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">
      <c r="A2" t="s">
        <v>57</v>
      </c>
      <c r="B2" s="1">
        <v>46079</v>
      </c>
      <c r="C2" t="s">
        <v>58</v>
      </c>
      <c r="D2" t="s">
        <v>59</v>
      </c>
      <c r="E2">
        <v>-5500</v>
      </c>
    </row>
    <row r="3" spans="1:5" x14ac:dyDescent="0.3">
      <c r="A3" t="s">
        <v>17</v>
      </c>
      <c r="B3" s="1">
        <v>46081</v>
      </c>
      <c r="C3" t="s">
        <v>18</v>
      </c>
      <c r="D3" t="s">
        <v>103</v>
      </c>
      <c r="E3">
        <v>-5000</v>
      </c>
    </row>
    <row r="4" spans="1:5" x14ac:dyDescent="0.3">
      <c r="A4" t="s">
        <v>60</v>
      </c>
      <c r="B4" s="1">
        <v>46079</v>
      </c>
      <c r="C4" t="s">
        <v>58</v>
      </c>
      <c r="D4" t="s">
        <v>61</v>
      </c>
      <c r="E4">
        <v>-4800</v>
      </c>
    </row>
    <row r="5" spans="1:5" x14ac:dyDescent="0.3">
      <c r="A5" t="s">
        <v>33</v>
      </c>
      <c r="B5" s="1">
        <v>46066</v>
      </c>
      <c r="C5" t="s">
        <v>34</v>
      </c>
      <c r="D5" t="s">
        <v>111</v>
      </c>
      <c r="E5">
        <v>-4500</v>
      </c>
    </row>
    <row r="6" spans="1:5" x14ac:dyDescent="0.3">
      <c r="A6" t="s">
        <v>9</v>
      </c>
      <c r="B6" s="1">
        <v>46063</v>
      </c>
      <c r="C6" t="s">
        <v>10</v>
      </c>
      <c r="D6" t="s">
        <v>74</v>
      </c>
      <c r="E6">
        <v>-2200</v>
      </c>
    </row>
    <row r="7" spans="1:5" x14ac:dyDescent="0.3">
      <c r="A7" t="s">
        <v>31</v>
      </c>
      <c r="B7" s="1">
        <v>46065</v>
      </c>
      <c r="C7" t="s">
        <v>32</v>
      </c>
      <c r="D7" t="s">
        <v>110</v>
      </c>
      <c r="E7">
        <v>-2100</v>
      </c>
    </row>
    <row r="8" spans="1:5" x14ac:dyDescent="0.3">
      <c r="A8" t="s">
        <v>66</v>
      </c>
      <c r="B8" s="1">
        <v>46081</v>
      </c>
      <c r="C8" t="s">
        <v>67</v>
      </c>
      <c r="D8" t="s">
        <v>122</v>
      </c>
      <c r="E8">
        <v>-1850</v>
      </c>
    </row>
    <row r="9" spans="1:5" x14ac:dyDescent="0.3">
      <c r="A9" t="s">
        <v>5</v>
      </c>
      <c r="B9" s="1">
        <v>46054</v>
      </c>
      <c r="C9" t="s">
        <v>6</v>
      </c>
      <c r="D9" t="s">
        <v>98</v>
      </c>
      <c r="E9">
        <v>-1500</v>
      </c>
    </row>
    <row r="10" spans="1:5" x14ac:dyDescent="0.3">
      <c r="A10" t="s">
        <v>47</v>
      </c>
      <c r="B10" s="1">
        <v>46075</v>
      </c>
      <c r="C10" t="s">
        <v>48</v>
      </c>
      <c r="D10" t="s">
        <v>87</v>
      </c>
      <c r="E10">
        <v>-1200</v>
      </c>
    </row>
    <row r="11" spans="1:5" x14ac:dyDescent="0.3">
      <c r="A11" t="s">
        <v>7</v>
      </c>
      <c r="B11" s="1">
        <v>46058</v>
      </c>
      <c r="C11" t="s">
        <v>8</v>
      </c>
      <c r="D11" t="s">
        <v>99</v>
      </c>
      <c r="E11">
        <v>-450</v>
      </c>
    </row>
    <row r="12" spans="1:5" x14ac:dyDescent="0.3">
      <c r="A12" t="s">
        <v>55</v>
      </c>
      <c r="B12" s="1">
        <v>46079</v>
      </c>
      <c r="C12" t="s">
        <v>56</v>
      </c>
      <c r="D12" t="s">
        <v>90</v>
      </c>
      <c r="E12">
        <v>-400</v>
      </c>
    </row>
    <row r="13" spans="1:5" x14ac:dyDescent="0.3">
      <c r="A13" t="s">
        <v>19</v>
      </c>
      <c r="B13" s="1">
        <v>46081</v>
      </c>
      <c r="C13" t="s">
        <v>20</v>
      </c>
      <c r="D13" t="s">
        <v>104</v>
      </c>
      <c r="E13">
        <v>-350</v>
      </c>
    </row>
    <row r="14" spans="1:5" x14ac:dyDescent="0.3">
      <c r="A14" t="s">
        <v>25</v>
      </c>
      <c r="B14" s="1">
        <v>46057</v>
      </c>
      <c r="C14" t="s">
        <v>26</v>
      </c>
      <c r="D14" t="s">
        <v>107</v>
      </c>
      <c r="E14">
        <v>-300</v>
      </c>
    </row>
    <row r="15" spans="1:5" x14ac:dyDescent="0.3">
      <c r="A15" t="s">
        <v>43</v>
      </c>
      <c r="B15" s="1">
        <v>46072</v>
      </c>
      <c r="C15" t="s">
        <v>44</v>
      </c>
      <c r="D15" t="s">
        <v>116</v>
      </c>
      <c r="E15">
        <v>-250</v>
      </c>
    </row>
    <row r="16" spans="1:5" x14ac:dyDescent="0.3">
      <c r="A16" t="s">
        <v>68</v>
      </c>
      <c r="B16" s="1">
        <v>46081</v>
      </c>
      <c r="C16" t="s">
        <v>69</v>
      </c>
      <c r="D16" t="s">
        <v>123</v>
      </c>
      <c r="E16">
        <v>-200</v>
      </c>
    </row>
    <row r="17" spans="1:5" x14ac:dyDescent="0.3">
      <c r="A17" t="s">
        <v>11</v>
      </c>
      <c r="B17" s="1">
        <v>46068</v>
      </c>
      <c r="C17" t="s">
        <v>12</v>
      </c>
      <c r="D17" t="s">
        <v>100</v>
      </c>
      <c r="E17">
        <v>-120.5</v>
      </c>
    </row>
    <row r="18" spans="1:5" x14ac:dyDescent="0.3">
      <c r="A18" t="s">
        <v>27</v>
      </c>
      <c r="B18" s="1">
        <v>46060</v>
      </c>
      <c r="C18" t="s">
        <v>28</v>
      </c>
      <c r="D18" t="s">
        <v>108</v>
      </c>
      <c r="E18">
        <v>-120</v>
      </c>
    </row>
    <row r="19" spans="1:5" x14ac:dyDescent="0.3">
      <c r="A19" t="s">
        <v>51</v>
      </c>
      <c r="B19" s="1">
        <v>46077</v>
      </c>
      <c r="C19" t="s">
        <v>52</v>
      </c>
      <c r="D19" t="s">
        <v>89</v>
      </c>
      <c r="E19">
        <v>-99</v>
      </c>
    </row>
    <row r="20" spans="1:5" x14ac:dyDescent="0.3">
      <c r="A20" t="s">
        <v>21</v>
      </c>
      <c r="B20" s="1">
        <v>46055</v>
      </c>
      <c r="C20" t="s">
        <v>22</v>
      </c>
      <c r="D20" t="s">
        <v>105</v>
      </c>
      <c r="E20">
        <v>-85</v>
      </c>
    </row>
    <row r="21" spans="1:5" x14ac:dyDescent="0.3">
      <c r="A21" t="s">
        <v>39</v>
      </c>
      <c r="B21" s="1">
        <v>46070</v>
      </c>
      <c r="C21" t="s">
        <v>40</v>
      </c>
      <c r="D21" t="s">
        <v>114</v>
      </c>
      <c r="E21">
        <v>-65.2</v>
      </c>
    </row>
    <row r="22" spans="1:5" x14ac:dyDescent="0.3">
      <c r="A22" t="s">
        <v>37</v>
      </c>
      <c r="B22" s="1">
        <v>46069</v>
      </c>
      <c r="C22" t="s">
        <v>38</v>
      </c>
      <c r="D22" t="s">
        <v>113</v>
      </c>
      <c r="E22">
        <v>-50</v>
      </c>
    </row>
    <row r="23" spans="1:5" x14ac:dyDescent="0.3">
      <c r="A23" t="s">
        <v>64</v>
      </c>
      <c r="B23" s="1">
        <v>46080</v>
      </c>
      <c r="C23" t="s">
        <v>65</v>
      </c>
      <c r="D23" t="s">
        <v>121</v>
      </c>
      <c r="E23">
        <v>150</v>
      </c>
    </row>
    <row r="24" spans="1:5" x14ac:dyDescent="0.3">
      <c r="A24" t="s">
        <v>49</v>
      </c>
      <c r="B24" s="1">
        <v>46076</v>
      </c>
      <c r="C24" t="s">
        <v>50</v>
      </c>
      <c r="D24" t="s">
        <v>118</v>
      </c>
      <c r="E24">
        <v>550</v>
      </c>
    </row>
    <row r="25" spans="1:5" x14ac:dyDescent="0.3">
      <c r="A25" t="s">
        <v>62</v>
      </c>
      <c r="B25" s="1">
        <v>46080</v>
      </c>
      <c r="C25" t="s">
        <v>63</v>
      </c>
      <c r="D25" t="s">
        <v>120</v>
      </c>
      <c r="E25">
        <v>700</v>
      </c>
    </row>
    <row r="26" spans="1:5" x14ac:dyDescent="0.3">
      <c r="A26" t="s">
        <v>35</v>
      </c>
      <c r="B26" s="1">
        <v>46067</v>
      </c>
      <c r="C26" t="s">
        <v>36</v>
      </c>
      <c r="D26" t="s">
        <v>112</v>
      </c>
      <c r="E26">
        <v>900</v>
      </c>
    </row>
    <row r="27" spans="1:5" x14ac:dyDescent="0.3">
      <c r="A27" t="s">
        <v>29</v>
      </c>
      <c r="B27" s="1">
        <v>46061</v>
      </c>
      <c r="C27" t="s">
        <v>30</v>
      </c>
      <c r="D27" t="s">
        <v>109</v>
      </c>
      <c r="E27">
        <v>1100</v>
      </c>
    </row>
    <row r="28" spans="1:5" x14ac:dyDescent="0.3">
      <c r="A28" t="s">
        <v>15</v>
      </c>
      <c r="B28" s="1">
        <v>46078</v>
      </c>
      <c r="C28" t="s">
        <v>16</v>
      </c>
      <c r="D28" t="s">
        <v>102</v>
      </c>
      <c r="E28">
        <v>1250</v>
      </c>
    </row>
    <row r="29" spans="1:5" x14ac:dyDescent="0.3">
      <c r="A29" t="s">
        <v>45</v>
      </c>
      <c r="B29" s="1">
        <v>46074</v>
      </c>
      <c r="C29" t="s">
        <v>46</v>
      </c>
      <c r="D29" t="s">
        <v>117</v>
      </c>
      <c r="E29">
        <v>1800</v>
      </c>
    </row>
    <row r="30" spans="1:5" x14ac:dyDescent="0.3">
      <c r="A30" t="s">
        <v>41</v>
      </c>
      <c r="B30" s="1">
        <v>46071</v>
      </c>
      <c r="C30" t="s">
        <v>42</v>
      </c>
      <c r="D30" t="s">
        <v>115</v>
      </c>
      <c r="E30">
        <v>2100</v>
      </c>
    </row>
    <row r="31" spans="1:5" x14ac:dyDescent="0.3">
      <c r="A31" t="s">
        <v>13</v>
      </c>
      <c r="B31" s="1">
        <v>46073</v>
      </c>
      <c r="C31" t="s">
        <v>14</v>
      </c>
      <c r="D31" t="s">
        <v>101</v>
      </c>
      <c r="E31">
        <v>3000</v>
      </c>
    </row>
    <row r="32" spans="1:5" x14ac:dyDescent="0.3">
      <c r="A32" t="s">
        <v>53</v>
      </c>
      <c r="B32" s="1">
        <v>46078</v>
      </c>
      <c r="C32" t="s">
        <v>54</v>
      </c>
      <c r="D32" t="s">
        <v>119</v>
      </c>
      <c r="E32">
        <v>3200</v>
      </c>
    </row>
    <row r="33" spans="1:5" x14ac:dyDescent="0.3">
      <c r="A33" t="s">
        <v>23</v>
      </c>
      <c r="B33" s="1">
        <v>46056</v>
      </c>
      <c r="C33" t="s">
        <v>24</v>
      </c>
      <c r="D33" t="s">
        <v>106</v>
      </c>
      <c r="E33">
        <v>4500</v>
      </c>
    </row>
  </sheetData>
  <sheetProtection algorithmName="SHA-512" hashValue="TecbmmwSAt7VPAzrfqTz3DUW0No8dX0y/ZNfn7m3sNtjmdp7R7B55YWaQbUgkVNfzMFDT63WcGBuDVVl9RqGeg==" saltValue="5yzkm1F+7rw2/iL7MzsZgw==" spinCount="100000" sheet="1" objects="1" scenarios="1" sort="0" autoFilter="0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2B315-0EC8-43A4-9E2C-411AC4C7F09D}">
  <sheetPr codeName="Arkusz3"/>
  <dimension ref="A1:I1"/>
  <sheetViews>
    <sheetView workbookViewId="0">
      <selection activeCell="F3" sqref="F3"/>
    </sheetView>
  </sheetViews>
  <sheetFormatPr defaultRowHeight="14.4" x14ac:dyDescent="0.3"/>
  <cols>
    <col min="1" max="1" width="16.109375" bestFit="1" customWidth="1"/>
    <col min="2" max="2" width="18.33203125" bestFit="1" customWidth="1"/>
    <col min="3" max="3" width="12.33203125" bestFit="1" customWidth="1"/>
    <col min="4" max="4" width="12.21875" bestFit="1" customWidth="1"/>
    <col min="5" max="5" width="8.33203125" bestFit="1" customWidth="1"/>
    <col min="6" max="6" width="14.33203125" bestFit="1" customWidth="1"/>
    <col min="7" max="7" width="15.109375" bestFit="1" customWidth="1"/>
    <col min="8" max="8" width="16.5546875" bestFit="1" customWidth="1"/>
    <col min="9" max="9" width="16.4414062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177</v>
      </c>
      <c r="G1" t="s">
        <v>70</v>
      </c>
      <c r="H1" t="s">
        <v>71</v>
      </c>
      <c r="I1" t="s">
        <v>72</v>
      </c>
    </row>
  </sheetData>
  <sheetProtection algorithmName="SHA-512" hashValue="BEiFIYzAWLz5w1F2JY0Nj0oVuzonI3Iuj+FLFtDK/TjkmyY+5cCx7gKIg36r+GniAFoAvGBlKiffOG6JlLyXow==" saltValue="kbupiOi8URT3b+ZF8tB5uA==" spinCount="100000"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C8C9DC2-085E-4167-9234-51697670D5A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9</vt:i4>
      </vt:variant>
    </vt:vector>
  </HeadingPairs>
  <TitlesOfParts>
    <vt:vector size="9" baseType="lpstr">
      <vt:lpstr>Dashboard</vt:lpstr>
      <vt:lpstr>Manual_matching</vt:lpstr>
      <vt:lpstr>Matched</vt:lpstr>
      <vt:lpstr>Ewidencja_Unmatched</vt:lpstr>
      <vt:lpstr>Wyciąg_Unmatched</vt:lpstr>
      <vt:lpstr>calc</vt:lpstr>
      <vt:lpstr>Wyciag_Bankowy_Full </vt:lpstr>
      <vt:lpstr>Ewidencja_Ksiegowa_Full</vt:lpstr>
      <vt:lpstr>Archiwum_Manual_Matching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Karol Kmita</dc:creator>
  <cp:lastModifiedBy>Karol Kmita</cp:lastModifiedBy>
  <dcterms:created xsi:type="dcterms:W3CDTF">2026-02-07T17:03:33Z</dcterms:created>
  <dcterms:modified xsi:type="dcterms:W3CDTF">2026-02-12T08:48:30Z</dcterms:modified>
</cp:coreProperties>
</file>